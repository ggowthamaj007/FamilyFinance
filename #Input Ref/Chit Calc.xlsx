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W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12" i="1"/>
  <c r="H13" i="1"/>
  <c r="H14" i="1"/>
  <c r="H15" i="1"/>
  <c r="H16" i="1"/>
  <c r="G3" i="1"/>
  <c r="H3" i="1" s="1"/>
  <c r="G4" i="1"/>
  <c r="G5" i="1"/>
  <c r="G6" i="1"/>
  <c r="G7" i="1"/>
  <c r="G8" i="1"/>
  <c r="G9" i="1"/>
  <c r="G10" i="1"/>
  <c r="G11" i="1"/>
  <c r="H11" i="1" s="1"/>
  <c r="G12" i="1"/>
  <c r="G13" i="1"/>
  <c r="G14" i="1"/>
  <c r="G15" i="1"/>
  <c r="G16" i="1"/>
  <c r="G2" i="1"/>
  <c r="E12" i="1"/>
  <c r="I12" i="1" s="1"/>
  <c r="E13" i="1"/>
  <c r="I13" i="1" s="1"/>
  <c r="E14" i="1"/>
  <c r="I14" i="1" s="1"/>
  <c r="E15" i="1"/>
  <c r="I15" i="1" s="1"/>
  <c r="E16" i="1"/>
  <c r="I16" i="1" s="1"/>
  <c r="E3" i="1"/>
  <c r="E4" i="1"/>
  <c r="E5" i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2" i="1"/>
  <c r="B6" i="1"/>
  <c r="B7" i="1" s="1"/>
  <c r="B4" i="1"/>
  <c r="I3" i="1" l="1"/>
  <c r="H4" i="1"/>
  <c r="H10" i="1"/>
  <c r="H6" i="1"/>
  <c r="I4" i="1"/>
  <c r="H8" i="1"/>
  <c r="I5" i="1"/>
  <c r="H2" i="1"/>
  <c r="I2" i="1" s="1"/>
  <c r="H9" i="1"/>
  <c r="H5" i="1"/>
</calcChain>
</file>

<file path=xl/sharedStrings.xml><?xml version="1.0" encoding="utf-8"?>
<sst xmlns="http://schemas.openxmlformats.org/spreadsheetml/2006/main" count="13" uniqueCount="13">
  <si>
    <t>Total Amnt</t>
  </si>
  <si>
    <t># of People</t>
  </si>
  <si>
    <t>Freq. in Months</t>
  </si>
  <si>
    <t>Freq/Year</t>
  </si>
  <si>
    <t>End of Tenure</t>
  </si>
  <si>
    <t>S#</t>
  </si>
  <si>
    <t>Bid#</t>
  </si>
  <si>
    <t>Bid Amnt</t>
  </si>
  <si>
    <t>Amnt to be paid/person</t>
  </si>
  <si>
    <t>Diff./Person</t>
  </si>
  <si>
    <t>Chit Amnt</t>
  </si>
  <si>
    <t>Ask  Amnt</t>
  </si>
  <si>
    <t>Chit Taken on Bid#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</si>
</sst>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6" fontId="0" fillId="0" borderId="1" xfId="0" applyNumberFormat="1" applyBorder="1"/>
    <xf numFmtId="166" fontId="1" fillId="2" borderId="1" xfId="0" applyNumberFormat="1" applyFont="1" applyFill="1" applyBorder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zoomScale="130" zoomScaleNormal="130" workbookViewId="0">
      <selection activeCell="D3" sqref="D3"/>
    </sheetView>
  </sheetViews>
  <sheetFormatPr defaultRowHeight="15" x14ac:dyDescent="0.25"/>
  <cols>
    <col min="1" max="1" width="17.5703125" bestFit="1" customWidth="1"/>
    <col min="2" max="2" width="15" customWidth="1"/>
    <col min="6" max="7" width="11.42578125" bestFit="1" customWidth="1"/>
    <col min="8" max="8" width="11.85546875" bestFit="1" customWidth="1"/>
    <col min="9" max="9" width="13.42578125" customWidth="1"/>
  </cols>
  <sheetData>
    <row r="1" spans="1:9" ht="30" x14ac:dyDescent="0.25">
      <c r="D1" s="8" t="s">
        <v>5</v>
      </c>
      <c r="E1" s="8" t="s">
        <v>6</v>
      </c>
      <c r="F1" s="8" t="s">
        <v>7</v>
      </c>
      <c r="G1" s="8" t="s">
        <v>11</v>
      </c>
      <c r="H1" s="8" t="s">
        <v>9</v>
      </c>
      <c r="I1" s="8" t="s">
        <v>8</v>
      </c>
    </row>
    <row r="2" spans="1:9" ht="20.100000000000001" customHeight="1" x14ac:dyDescent="0.25">
      <c r="A2" s="10" t="s">
        <v>0</v>
      </c>
      <c r="B2" s="3">
        <v>200000</v>
      </c>
      <c r="D2" s="6">
        <v>1</v>
      </c>
      <c r="E2" s="6">
        <f>IF(D2/$B$3&lt;=1,D2,"")</f>
        <v>1</v>
      </c>
      <c r="F2" s="7">
        <v>200000</v>
      </c>
      <c r="G2" s="7">
        <f>IF(D2&gt;$B$3,"",$B$2-F2)</f>
        <v>0</v>
      </c>
      <c r="H2" s="7">
        <f>IF(D2&gt;$B$3,"",G2/IF($B$3-E2=0,1,$B$3-E2))</f>
        <v>0</v>
      </c>
      <c r="I2" s="7">
        <f>IF(E2&gt;$B$3,"",IF(E2&gt;=$B$9,$B$4,$B$4-H2))</f>
        <v>20000</v>
      </c>
    </row>
    <row r="3" spans="1:9" ht="20.100000000000001" customHeight="1" x14ac:dyDescent="0.25">
      <c r="A3" s="10" t="s">
        <v>1</v>
      </c>
      <c r="B3" s="4">
        <v>10</v>
      </c>
      <c r="D3" s="6">
        <v>2</v>
      </c>
      <c r="E3" s="6">
        <f>IF(D3/$B$3&lt;=1,D3,"")</f>
        <v>2</v>
      </c>
      <c r="F3" s="7">
        <v>190000</v>
      </c>
      <c r="G3" s="7">
        <f>IF(D3&gt;$B$3,"",$B$2-F3)</f>
        <v>10000</v>
      </c>
      <c r="H3" s="7">
        <f>IF(D3&gt;$B$3,"",G3/IF($B$3-E3=0,1,$B$3-E3))</f>
        <v>1250</v>
      </c>
      <c r="I3" s="7">
        <f>IF(E3&gt;$B$3,"",IF(E3&gt;=$B$9,$B$4,$B$4-H3))</f>
        <v>18750</v>
      </c>
    </row>
    <row r="4" spans="1:9" ht="20.100000000000001" customHeight="1" x14ac:dyDescent="0.25">
      <c r="A4" s="5" t="s">
        <v>10</v>
      </c>
      <c r="B4" s="2">
        <f>B2/B3</f>
        <v>20000</v>
      </c>
      <c r="D4" s="6">
        <v>3</v>
      </c>
      <c r="E4" s="6">
        <f>IF(D4/$B$3&lt;=1,D4,"")</f>
        <v>3</v>
      </c>
      <c r="F4" s="7">
        <v>170000</v>
      </c>
      <c r="G4" s="7">
        <f>IF(D4&gt;$B$3,"",$B$2-F4)</f>
        <v>30000</v>
      </c>
      <c r="H4" s="7">
        <f>IF(D4&gt;$B$3,"",G4/IF($B$3-E4=0,1,$B$3-E4))</f>
        <v>4285.7142857142853</v>
      </c>
      <c r="I4" s="7">
        <f>IF(E4&gt;$B$3,"",IF(E4&gt;=$B$9,$B$4,$B$4-H4))</f>
        <v>15714.285714285714</v>
      </c>
    </row>
    <row r="5" spans="1:9" ht="20.100000000000001" customHeight="1" x14ac:dyDescent="0.25">
      <c r="A5" s="10" t="s">
        <v>2</v>
      </c>
      <c r="B5" s="4">
        <v>3</v>
      </c>
      <c r="D5" s="6">
        <v>4</v>
      </c>
      <c r="E5" s="6">
        <f>IF(D5/$B$3&lt;=1,D5,"")</f>
        <v>4</v>
      </c>
      <c r="F5" s="7">
        <v>180000</v>
      </c>
      <c r="G5" s="7">
        <f>IF(D5&gt;$B$3,"",$B$2-F5)</f>
        <v>20000</v>
      </c>
      <c r="H5" s="7">
        <f>IF(D5&gt;$B$3,"",G5/IF($B$3-E5=0,1,$B$3-E5))</f>
        <v>3333.3333333333335</v>
      </c>
      <c r="I5" s="7">
        <f>IF(E5&gt;$B$3,"",IF(E5&gt;=$B$9,$B$4,$B$4-H5))</f>
        <v>16666.666666666668</v>
      </c>
    </row>
    <row r="6" spans="1:9" ht="20.100000000000001" customHeight="1" x14ac:dyDescent="0.25">
      <c r="A6" s="5" t="s">
        <v>3</v>
      </c>
      <c r="B6" s="1">
        <f>1/(B5/12)</f>
        <v>4</v>
      </c>
      <c r="D6" s="6">
        <v>5</v>
      </c>
      <c r="E6" s="6">
        <f>IF(D6/$B$3&lt;=1,D6,"")</f>
        <v>5</v>
      </c>
      <c r="F6" s="7">
        <v>185000</v>
      </c>
      <c r="G6" s="7">
        <f>IF(D6&gt;$B$3,"",$B$2-F6)</f>
        <v>15000</v>
      </c>
      <c r="H6" s="7">
        <f>IF(D6&gt;$B$3,"",G6/IF($B$3-E6=0,1,$B$3-E6))</f>
        <v>3000</v>
      </c>
      <c r="I6" s="7">
        <f>IF(E6&gt;$B$3,"",IF(E6&gt;=$B$9,$B$4,$B$4-H6))</f>
        <v>20000</v>
      </c>
    </row>
    <row r="7" spans="1:9" ht="20.100000000000001" customHeight="1" x14ac:dyDescent="0.25">
      <c r="A7" s="5" t="s">
        <v>4</v>
      </c>
      <c r="B7" s="1">
        <f>B3/B6</f>
        <v>2.5</v>
      </c>
      <c r="D7" s="6">
        <v>6</v>
      </c>
      <c r="E7" s="6">
        <f>IF(D7/$B$3&lt;=1,D7,"")</f>
        <v>6</v>
      </c>
      <c r="F7" s="7">
        <v>160000</v>
      </c>
      <c r="G7" s="7">
        <f>IF(D7&gt;$B$3,"",$B$2-F7)</f>
        <v>40000</v>
      </c>
      <c r="H7" s="7">
        <f>IF(D7&gt;$B$3,"",G7/IF($B$3-E7=0,1,$B$3-E7))</f>
        <v>10000</v>
      </c>
      <c r="I7" s="7">
        <f>IF(E7&gt;$B$3,"",IF(E7&gt;=$B$9,$B$4,$B$4-H7))</f>
        <v>20000</v>
      </c>
    </row>
    <row r="8" spans="1:9" ht="20.100000000000001" customHeight="1" x14ac:dyDescent="0.25">
      <c r="A8" s="11"/>
      <c r="D8" s="6">
        <v>7</v>
      </c>
      <c r="E8" s="6">
        <f>IF(D8/$B$3&lt;=1,D8,"")</f>
        <v>7</v>
      </c>
      <c r="F8" s="7">
        <v>180000</v>
      </c>
      <c r="G8" s="7">
        <f>IF(D8&gt;$B$3,"",$B$2-F8)</f>
        <v>20000</v>
      </c>
      <c r="H8" s="7">
        <f>IF(D8&gt;$B$3,"",G8/IF($B$3-E8=0,1,$B$3-E8))</f>
        <v>6666.666666666667</v>
      </c>
      <c r="I8" s="7">
        <f>IF(E8&gt;$B$3,"",IF(E8&gt;=$B$9,$B$4,$B$4-H8))</f>
        <v>20000</v>
      </c>
    </row>
    <row r="9" spans="1:9" ht="20.100000000000001" customHeight="1" x14ac:dyDescent="0.25">
      <c r="A9" s="10" t="s">
        <v>12</v>
      </c>
      <c r="B9" s="9">
        <v>5</v>
      </c>
      <c r="D9" s="6">
        <v>8</v>
      </c>
      <c r="E9" s="6">
        <f>IF(D9/$B$3&lt;=1,D9,"")</f>
        <v>8</v>
      </c>
      <c r="F9" s="7">
        <v>190000</v>
      </c>
      <c r="G9" s="7">
        <f>IF(D9&gt;$B$3,"",$B$2-F9)</f>
        <v>10000</v>
      </c>
      <c r="H9" s="7">
        <f>IF(D9&gt;$B$3,"",G9/IF($B$3-E9=0,1,$B$3-E9))</f>
        <v>5000</v>
      </c>
      <c r="I9" s="7">
        <f>IF(E9&gt;$B$3,"",IF(E9&gt;=$B$9,$B$4,$B$4-H9))</f>
        <v>20000</v>
      </c>
    </row>
    <row r="10" spans="1:9" ht="20.100000000000001" customHeight="1" x14ac:dyDescent="0.25">
      <c r="D10" s="6">
        <v>9</v>
      </c>
      <c r="E10" s="6">
        <f>IF(D10/$B$3&lt;=1,D10,"")</f>
        <v>9</v>
      </c>
      <c r="F10" s="7">
        <v>195000</v>
      </c>
      <c r="G10" s="7">
        <f>IF(D10&gt;$B$3,"",$B$2-F10)</f>
        <v>5000</v>
      </c>
      <c r="H10" s="7">
        <f>IF(D10&gt;$B$3,"",G10/IF($B$3-E10=0,1,$B$3-E10))</f>
        <v>5000</v>
      </c>
      <c r="I10" s="7">
        <f>IF(E10&gt;$B$3,"",IF(E10&gt;=$B$9,$B$4,$B$4-H10))</f>
        <v>20000</v>
      </c>
    </row>
    <row r="11" spans="1:9" ht="20.100000000000001" customHeight="1" x14ac:dyDescent="0.25">
      <c r="D11" s="6">
        <v>10</v>
      </c>
      <c r="E11" s="6">
        <f>IF(D11/$B$3&lt;=1,D11,"")</f>
        <v>10</v>
      </c>
      <c r="F11" s="7">
        <v>200000</v>
      </c>
      <c r="G11" s="7">
        <f>IF(D11&gt;$B$3,"",$B$2-F11)</f>
        <v>0</v>
      </c>
      <c r="H11" s="7">
        <f>IF(D11&gt;$B$3,"",G11/IF($B$3-E11=0,1,$B$3-E11))</f>
        <v>0</v>
      </c>
      <c r="I11" s="7">
        <f>IF(E11&gt;$B$3,"",IF(E11&gt;=$B$9,$B$4,$B$4-H11))</f>
        <v>20000</v>
      </c>
    </row>
    <row r="12" spans="1:9" ht="20.100000000000001" customHeight="1" x14ac:dyDescent="0.25">
      <c r="D12" s="6">
        <v>11</v>
      </c>
      <c r="E12" s="6" t="str">
        <f>IF(D12/$B$3&lt;=1,D12,"")</f>
        <v/>
      </c>
      <c r="F12" s="7"/>
      <c r="G12" s="7" t="str">
        <f>IF(D12&gt;$B$3,"",$B$2-F12)</f>
        <v/>
      </c>
      <c r="H12" s="7" t="str">
        <f>IF(D12&gt;$B$3,"",G12/IF($B$3-E12=0,1,$B$3-E12))</f>
        <v/>
      </c>
      <c r="I12" s="7" t="str">
        <f>IF(E12&gt;$B$3,"",IF(E12&gt;=$B$9,$B$4,$B$4-H12))</f>
        <v/>
      </c>
    </row>
    <row r="13" spans="1:9" ht="20.100000000000001" customHeight="1" x14ac:dyDescent="0.25">
      <c r="D13" s="6">
        <v>12</v>
      </c>
      <c r="E13" s="6" t="str">
        <f>IF(D13/$B$3&lt;=1,D13,"")</f>
        <v/>
      </c>
      <c r="F13" s="7"/>
      <c r="G13" s="7" t="str">
        <f>IF(D13&gt;$B$3,"",$B$2-F13)</f>
        <v/>
      </c>
      <c r="H13" s="7" t="str">
        <f>IF(D13&gt;$B$3,"",G13/IF($B$3-E13=0,1,$B$3-E13))</f>
        <v/>
      </c>
      <c r="I13" s="7" t="str">
        <f>IF(E13&gt;$B$3,"",IF(E13&gt;=$B$9,$B$4,$B$4-H13))</f>
        <v/>
      </c>
    </row>
    <row r="14" spans="1:9" ht="20.100000000000001" customHeight="1" x14ac:dyDescent="0.25">
      <c r="D14" s="6">
        <v>13</v>
      </c>
      <c r="E14" s="6" t="str">
        <f>IF(D14/$B$3&lt;=1,D14,"")</f>
        <v/>
      </c>
      <c r="F14" s="7"/>
      <c r="G14" s="7" t="str">
        <f>IF(D14&gt;$B$3,"",$B$2-F14)</f>
        <v/>
      </c>
      <c r="H14" s="7" t="str">
        <f>IF(D14&gt;$B$3,"",G14/IF($B$3-E14=0,1,$B$3-E14))</f>
        <v/>
      </c>
      <c r="I14" s="7" t="str">
        <f>IF(E14&gt;$B$3,"",IF(E14&gt;=$B$9,$B$4,$B$4-H14))</f>
        <v/>
      </c>
    </row>
    <row r="15" spans="1:9" ht="20.100000000000001" customHeight="1" x14ac:dyDescent="0.25">
      <c r="D15" s="6">
        <v>14</v>
      </c>
      <c r="E15" s="6" t="str">
        <f>IF(D15/$B$3&lt;=1,D15,"")</f>
        <v/>
      </c>
      <c r="F15" s="7"/>
      <c r="G15" s="7" t="str">
        <f>IF(D15&gt;$B$3,"",$B$2-F15)</f>
        <v/>
      </c>
      <c r="H15" s="7" t="str">
        <f>IF(D15&gt;$B$3,"",G15/IF($B$3-E15=0,1,$B$3-E15))</f>
        <v/>
      </c>
      <c r="I15" s="7" t="str">
        <f>IF(E15&gt;$B$3,"",IF(E15&gt;=$B$9,$B$4,$B$4-H15))</f>
        <v/>
      </c>
    </row>
    <row r="16" spans="1:9" ht="20.100000000000001" customHeight="1" x14ac:dyDescent="0.25">
      <c r="D16" s="6">
        <v>15</v>
      </c>
      <c r="E16" s="6" t="str">
        <f>IF(D16/$B$3&lt;=1,D16,"")</f>
        <v/>
      </c>
      <c r="F16" s="7"/>
      <c r="G16" s="7" t="str">
        <f>IF(D16&gt;$B$3,"",$B$2-F16)</f>
        <v/>
      </c>
      <c r="H16" s="7" t="str">
        <f>IF(D16&gt;$B$3,"",G16/IF($B$3-E16=0,1,$B$3-E16))</f>
        <v/>
      </c>
      <c r="I16" s="7" t="str">
        <f>IF(E16&gt;$B$3,"",IF(E16&gt;=$B$9,$B$4,$B$4-H16))</f>
        <v/>
      </c>
    </row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</sheetData>
  <conditionalFormatting sqref="I2:I16">
    <cfRule type="cellIs" dxfId="0" priority="1" operator="lessThan">
      <formula>$B$4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</dc:creator>
  <cp:lastModifiedBy>GOW</cp:lastModifiedBy>
  <dcterms:created xsi:type="dcterms:W3CDTF">2026-05-24T04:38:30Z</dcterms:created>
  <dcterms:modified xsi:type="dcterms:W3CDTF">2026-05-24T05:51:20Z</dcterms:modified>
</cp:coreProperties>
</file>