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tables/table6.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7.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64011"/>
  <mc:AlternateContent xmlns:mc="http://schemas.openxmlformats.org/markup-compatibility/2006">
    <mc:Choice Requires="x15">
      <x15ac:absPath xmlns:x15ac="http://schemas.microsoft.com/office/spreadsheetml/2010/11/ac" url="C:\Users\GOW\Desktop\EXPENSE TRACKER\"/>
    </mc:Choice>
  </mc:AlternateContent>
  <bookViews>
    <workbookView xWindow="0" yWindow="0" windowWidth="23040" windowHeight="9195" tabRatio="631" activeTab="6"/>
  </bookViews>
  <sheets>
    <sheet name="CATEGORY" sheetId="1" r:id="rId1"/>
    <sheet name="BUDGET" sheetId="3" r:id="rId2"/>
    <sheet name="STATEMENT" sheetId="2" r:id="rId3"/>
    <sheet name="LEND &amp; BORROW" sheetId="13" r:id="rId4"/>
    <sheet name="OTHERS" sheetId="11" state="hidden" r:id="rId5"/>
    <sheet name="QUERY" sheetId="9" r:id="rId6"/>
    <sheet name="REPORTS" sheetId="12" r:id="rId7"/>
    <sheet name="ANALYSIS" sheetId="10" r:id="rId8"/>
  </sheets>
  <definedNames>
    <definedName name="ExternalData_1" localSheetId="5" hidden="1">QUERY!$B$8:$N$945</definedName>
    <definedName name="NativeTimeline_Date">#N/A</definedName>
    <definedName name="Slicer_Category_Type">#N/A</definedName>
    <definedName name="Slicer_Category_Type1">#N/A</definedName>
    <definedName name="Slicer_Month">#N/A</definedName>
    <definedName name="Sub_Categories">CATEGORY!$B$9:$B$47</definedName>
  </definedNames>
  <calcPr calcId="162913" iterateDelta="1E-4"/>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Lst>
</workbook>
</file>

<file path=xl/calcChain.xml><?xml version="1.0" encoding="utf-8"?>
<calcChain xmlns="http://schemas.openxmlformats.org/spreadsheetml/2006/main">
  <c r="I20" i="13" l="1"/>
  <c r="I48" i="3"/>
  <c r="H30" i="13"/>
  <c r="H31" i="13"/>
  <c r="H27" i="13"/>
  <c r="H26" i="13"/>
  <c r="H32" i="13" l="1"/>
  <c r="H28" i="13"/>
  <c r="H34" i="13" s="1"/>
  <c r="I23" i="13"/>
  <c r="I22" i="13"/>
  <c r="I21" i="13"/>
  <c r="I14" i="13"/>
  <c r="I13" i="13"/>
  <c r="I12" i="13"/>
  <c r="I11" i="13"/>
  <c r="I10" i="13"/>
  <c r="G722" i="2"/>
  <c r="G706" i="2"/>
  <c r="G672" i="2"/>
  <c r="G523" i="2"/>
  <c r="G449" i="2"/>
  <c r="G153" i="2"/>
  <c r="I116" i="2"/>
  <c r="G116" i="2"/>
  <c r="G72" i="2"/>
  <c r="F78" i="3"/>
  <c r="F61" i="3"/>
  <c r="E61" i="3"/>
  <c r="G57" i="3"/>
  <c r="G53" i="3"/>
  <c r="O22" i="3"/>
  <c r="N15" i="3"/>
  <c r="O12" i="3"/>
  <c r="E9" i="10"/>
  <c r="E8" i="10"/>
  <c r="F8" i="10" l="1"/>
  <c r="F9" i="10"/>
</calcChain>
</file>

<file path=xl/comments1.xml><?xml version="1.0" encoding="utf-8"?>
<comments xmlns="http://schemas.openxmlformats.org/spreadsheetml/2006/main">
  <authors>
    <author>GOW</author>
  </authors>
  <commentList>
    <comment ref="E8" authorId="0" shapeId="0">
      <text>
        <r>
          <rPr>
            <b/>
            <sz val="9"/>
            <color indexed="81"/>
            <rFont val="Tahoma"/>
            <charset val="1"/>
          </rPr>
          <t>GOW: Says Amount In-Hand incl Saving</t>
        </r>
      </text>
    </comment>
  </commentList>
</comments>
</file>

<file path=xl/connections.xml><?xml version="1.0" encoding="utf-8"?>
<connections xmlns="http://schemas.openxmlformats.org/spreadsheetml/2006/main">
  <connection id="1" keepAlive="1" name="Query - Budget" description="Connection to the 'Budget' query in the workbook." type="5" refreshedVersion="0" background="1">
    <dbPr connection="Provider=Microsoft.Mashup.OleDb.1;Data Source=$Workbook$;Location=Budget" command="SELECT * FROM [Budget]"/>
  </connection>
  <connection id="2" keepAlive="1" name="Query - Category_Table" description="Connection to the 'Category_Table' query in the workbook." type="5" refreshedVersion="0" background="1">
    <dbPr connection="Provider=Microsoft.Mashup.OleDb.1;Data Source=$Workbook$;Location=Category_Table" command="SELECT * FROM [Category_Table]"/>
  </connection>
  <connection id="3" keepAlive="1" name="Query - Statement" description="Connection to the 'Statement' query in the workbook." type="5" refreshedVersion="6" background="1" saveData="1">
    <dbPr connection="Provider=Microsoft.Mashup.OleDb.1;Data Source=$Workbook$;Location=Statement;Extended Properties=&quot;&quot;" command="SELECT * FROM [Statement]"/>
  </connection>
  <connection id="4" keepAlive="1" name="Query - Statement1" description="Connection to the 'Statement' query in the workbook." type="5" refreshedVersion="6" saveData="1">
    <dbPr connection="Provider=Microsoft.Mashup.OleDb.1;Data Source=$Workbook$;Location=Statement;Extended Properties=&quot;&quot;" command="SELECT * FROM [Statement]"/>
  </connection>
</connections>
</file>

<file path=xl/sharedStrings.xml><?xml version="1.0" encoding="utf-8"?>
<sst xmlns="http://schemas.openxmlformats.org/spreadsheetml/2006/main" count="6990" uniqueCount="538">
  <si>
    <t>Sub-Category</t>
  </si>
  <si>
    <t>Category</t>
  </si>
  <si>
    <t>Category Type</t>
  </si>
  <si>
    <t>Mortgage/Rent</t>
  </si>
  <si>
    <t>🏠Home Expenses</t>
  </si>
  <si>
    <t>Expense</t>
  </si>
  <si>
    <t>Electricity</t>
  </si>
  <si>
    <t>Home Supplies</t>
  </si>
  <si>
    <t>Fuel</t>
  </si>
  <si>
    <t>✈Transportation</t>
  </si>
  <si>
    <t>Bus/Taxi/Train Fare</t>
  </si>
  <si>
    <t>Repairs/Maintenance</t>
  </si>
  <si>
    <t>Hospital</t>
  </si>
  <si>
    <t>⛑Health</t>
  </si>
  <si>
    <t>Medicine/Drugs</t>
  </si>
  <si>
    <t>Gifts Given</t>
  </si>
  <si>
    <t>🎁Charity/Gifts</t>
  </si>
  <si>
    <t>Donations</t>
  </si>
  <si>
    <t>OTT's</t>
  </si>
  <si>
    <t>💸Bills/Subscriptions</t>
  </si>
  <si>
    <t>Memberships</t>
  </si>
  <si>
    <t>Groceries</t>
  </si>
  <si>
    <t>🍴Daily Living</t>
  </si>
  <si>
    <t>Personal Supplies</t>
  </si>
  <si>
    <t>Clothing</t>
  </si>
  <si>
    <t>Eating Out</t>
  </si>
  <si>
    <t>Grooming</t>
  </si>
  <si>
    <t>Activities</t>
  </si>
  <si>
    <t>🎥Entertainment</t>
  </si>
  <si>
    <t>Media/Cinema</t>
  </si>
  <si>
    <t>Sports</t>
  </si>
  <si>
    <t>Gadgets</t>
  </si>
  <si>
    <t>Vacation/Travel</t>
  </si>
  <si>
    <t>Emergency Fund</t>
  </si>
  <si>
    <t>💲Savings</t>
  </si>
  <si>
    <t>Savings</t>
  </si>
  <si>
    <t>Investments</t>
  </si>
  <si>
    <t>Credit Cards</t>
  </si>
  <si>
    <t>😐Obligations</t>
  </si>
  <si>
    <t>Other Loans</t>
  </si>
  <si>
    <t>Other</t>
  </si>
  <si>
    <t>⭕Miscellaneous</t>
  </si>
  <si>
    <t>Salary</t>
  </si>
  <si>
    <t>💰Fixed</t>
  </si>
  <si>
    <t>Income</t>
  </si>
  <si>
    <t>Other Income</t>
  </si>
  <si>
    <t>📈Variable</t>
  </si>
  <si>
    <t>Sl. No.</t>
  </si>
  <si>
    <t>Description</t>
  </si>
  <si>
    <t>Year</t>
  </si>
  <si>
    <t>JAN</t>
  </si>
  <si>
    <t>FEB</t>
  </si>
  <si>
    <t>MAR</t>
  </si>
  <si>
    <t>APR</t>
  </si>
  <si>
    <t>MAY</t>
  </si>
  <si>
    <t>JUN</t>
  </si>
  <si>
    <t>JUL</t>
  </si>
  <si>
    <t>AUG</t>
  </si>
  <si>
    <t>SEP</t>
  </si>
  <si>
    <t>OCT</t>
  </si>
  <si>
    <t>NOV</t>
  </si>
  <si>
    <t>DEC</t>
  </si>
  <si>
    <t>Credit</t>
  </si>
  <si>
    <t>Debit</t>
  </si>
  <si>
    <t>Actual</t>
  </si>
  <si>
    <t>Date</t>
  </si>
  <si>
    <t>Budget</t>
  </si>
  <si>
    <t>Month</t>
  </si>
  <si>
    <t>Sum of Actual</t>
  </si>
  <si>
    <t>Sum of Budget</t>
  </si>
  <si>
    <t>Remarks</t>
  </si>
  <si>
    <t>BORROWS</t>
  </si>
  <si>
    <t>Fighter</t>
  </si>
  <si>
    <t xml:space="preserve"> </t>
  </si>
  <si>
    <t>Expense Total</t>
  </si>
  <si>
    <t>Income Total</t>
  </si>
  <si>
    <t>Personal P&amp;L</t>
  </si>
  <si>
    <t xml:space="preserve"> ACTUAL</t>
  </si>
  <si>
    <t xml:space="preserve"> BUDEGT</t>
  </si>
  <si>
    <t xml:space="preserve"> VARIANCE</t>
  </si>
  <si>
    <t>Income Surplus/(Deficit)</t>
  </si>
  <si>
    <t>Water</t>
  </si>
  <si>
    <t>Actual vs Budget Variance</t>
  </si>
  <si>
    <t>To Home_G</t>
  </si>
  <si>
    <t>To Home_R</t>
  </si>
  <si>
    <t>Salary_G</t>
  </si>
  <si>
    <t>Salary_R</t>
  </si>
  <si>
    <t>Accnt. Name</t>
  </si>
  <si>
    <t>S G TYRE</t>
  </si>
  <si>
    <t>MAGADEVAN R</t>
  </si>
  <si>
    <t>SURUCHI VEG</t>
  </si>
  <si>
    <t>Manjunatha R V</t>
  </si>
  <si>
    <t>Sri Sai</t>
  </si>
  <si>
    <t>AVENUE S</t>
  </si>
  <si>
    <t>MOHAMMED SAHIL</t>
  </si>
  <si>
    <t>THE BIG MARKET</t>
  </si>
  <si>
    <t>SHEIK KALEEM</t>
  </si>
  <si>
    <t>Gowtham Saravan</t>
  </si>
  <si>
    <t>GOWTHAM</t>
  </si>
  <si>
    <t>SANTHIYA M</t>
  </si>
  <si>
    <t>Renuka K</t>
  </si>
  <si>
    <t>DINOY GE</t>
  </si>
  <si>
    <t>Vaishno Devi Ga</t>
  </si>
  <si>
    <t>SRIKANTH</t>
  </si>
  <si>
    <t>SHEIK KA</t>
  </si>
  <si>
    <t>Mr VENKA</t>
  </si>
  <si>
    <t>CHRG-ATM TXN DECLINE FEE</t>
  </si>
  <si>
    <t>KRISHNAP</t>
  </si>
  <si>
    <t>RAMACHAN</t>
  </si>
  <si>
    <t>IRCTC Co</t>
  </si>
  <si>
    <t>CREDPAYR</t>
  </si>
  <si>
    <t>BOOKMYSH</t>
  </si>
  <si>
    <t>Vaishno</t>
  </si>
  <si>
    <t>Halli Th</t>
  </si>
  <si>
    <t>RENUKA</t>
  </si>
  <si>
    <t>NARAYAN RAM</t>
  </si>
  <si>
    <t>SRIKANTH S</t>
  </si>
  <si>
    <t>RAJASHEKAR</t>
  </si>
  <si>
    <t>Airtel Renuka</t>
  </si>
  <si>
    <t>Selvarani</t>
  </si>
  <si>
    <t>Selvarani Airtel</t>
  </si>
  <si>
    <t>Parimala Jio</t>
  </si>
  <si>
    <t>Gowtham</t>
  </si>
  <si>
    <t>Renuka</t>
  </si>
  <si>
    <t>Thangamayil</t>
  </si>
  <si>
    <t>Sagar Dress</t>
  </si>
  <si>
    <t>Nog Veg</t>
  </si>
  <si>
    <t>Seeds</t>
  </si>
  <si>
    <t>Snacks</t>
  </si>
  <si>
    <t>Vasanth</t>
  </si>
  <si>
    <t>Credit Card Bill</t>
  </si>
  <si>
    <t>Parimala</t>
  </si>
  <si>
    <t>Train Ticket Refun</t>
  </si>
  <si>
    <t>SETC</t>
  </si>
  <si>
    <t>Monitor Cable</t>
  </si>
  <si>
    <t>Paani Poori</t>
  </si>
  <si>
    <t>KPN Fresh</t>
  </si>
  <si>
    <t>Chicken Roll</t>
  </si>
  <si>
    <t>Flower</t>
  </si>
  <si>
    <t>House Rent</t>
  </si>
  <si>
    <t>Gas</t>
  </si>
  <si>
    <t>Zepto</t>
  </si>
  <si>
    <t>Eating Out-Accencture</t>
  </si>
  <si>
    <t>Grocerries-Untill 14-Nov</t>
  </si>
  <si>
    <t>Chicken</t>
  </si>
  <si>
    <t>Grocerries-Milk, Masala</t>
  </si>
  <si>
    <t>Fish</t>
  </si>
  <si>
    <t>Tea</t>
  </si>
  <si>
    <t>Arav Farm</t>
  </si>
  <si>
    <t>Arav Farm till 21</t>
  </si>
  <si>
    <t>Dinner @Shanthi Nagar</t>
  </si>
  <si>
    <t>Tea @ Lakshmi Nagar</t>
  </si>
  <si>
    <t>Medicals</t>
  </si>
  <si>
    <t>Koneripatti Market</t>
  </si>
  <si>
    <t>Friuts</t>
  </si>
  <si>
    <t>Badam</t>
  </si>
  <si>
    <t>Cab</t>
  </si>
  <si>
    <t>BBNL</t>
  </si>
  <si>
    <t>Petrol</t>
  </si>
  <si>
    <t>Dinner</t>
  </si>
  <si>
    <t>Gocerries</t>
  </si>
  <si>
    <t>Cash</t>
  </si>
  <si>
    <t>Vela Bakery</t>
  </si>
  <si>
    <t>Aadhar Registration</t>
  </si>
  <si>
    <t>Orange</t>
  </si>
  <si>
    <t>Oil, KPN</t>
  </si>
  <si>
    <t>From Palanima</t>
  </si>
  <si>
    <t>Saravanan Ramasamy</t>
  </si>
  <si>
    <t>Cone</t>
  </si>
  <si>
    <t>Grocerries</t>
  </si>
  <si>
    <t>Pizza</t>
  </si>
  <si>
    <t>Mutton</t>
  </si>
  <si>
    <t>Milk Bun</t>
  </si>
  <si>
    <t>Purifier</t>
  </si>
  <si>
    <t>My Jio</t>
  </si>
  <si>
    <t>Amma Jio</t>
  </si>
  <si>
    <t>Haircut</t>
  </si>
  <si>
    <t>Sandwich</t>
  </si>
  <si>
    <t>To Selvarani</t>
  </si>
  <si>
    <t>To Parimala</t>
  </si>
  <si>
    <t>Food Processor</t>
  </si>
  <si>
    <t>Ajio</t>
  </si>
  <si>
    <t>Zepto-Rice</t>
  </si>
  <si>
    <t>Vivo Sharp Fitness</t>
  </si>
  <si>
    <t>Thalasery Hotel</t>
  </si>
  <si>
    <t>To selvarani</t>
  </si>
  <si>
    <t>Akki Thirumala Reddy</t>
  </si>
  <si>
    <t>Netflix</t>
  </si>
  <si>
    <t>Renu Haircut</t>
  </si>
  <si>
    <t>Saving Box</t>
  </si>
  <si>
    <t>Puliyur Ticket</t>
  </si>
  <si>
    <t>Egg</t>
  </si>
  <si>
    <t>Pineapple</t>
  </si>
  <si>
    <t>Puliyur_wifi</t>
  </si>
  <si>
    <t>House rent</t>
  </si>
  <si>
    <t>EB Bill</t>
  </si>
  <si>
    <t>Water Bill</t>
  </si>
  <si>
    <t>Millets&amp; Pulses</t>
  </si>
  <si>
    <t>Clothes, Slipper</t>
  </si>
  <si>
    <t>BG to Santhi Nagar</t>
  </si>
  <si>
    <t>Kovil, Pooja</t>
  </si>
  <si>
    <t>Rapido to COGI</t>
  </si>
  <si>
    <t>Onion</t>
  </si>
  <si>
    <t>Cake</t>
  </si>
  <si>
    <t>xerox</t>
  </si>
  <si>
    <t>Chiili Chicken</t>
  </si>
  <si>
    <t>Cab, Santhi Nagar to Home</t>
  </si>
  <si>
    <t>KFC</t>
  </si>
  <si>
    <t>Roll</t>
  </si>
  <si>
    <t>Biriyani</t>
  </si>
  <si>
    <t>Basmathi Rice</t>
  </si>
  <si>
    <t>Prawn</t>
  </si>
  <si>
    <t>IRCTC BG to Tirunelveli</t>
  </si>
  <si>
    <t>IRCTC Turicorin to BG</t>
  </si>
  <si>
    <t>Thangamayil - Diamond Bracelet</t>
  </si>
  <si>
    <t>Annual Maintenance Fee</t>
  </si>
  <si>
    <t>Valikandapuram-Sandhai</t>
  </si>
  <si>
    <t>From Selvarani</t>
  </si>
  <si>
    <t>Mobile/Wifi</t>
  </si>
  <si>
    <t>Grill Chicken</t>
  </si>
  <si>
    <t xml:space="preserve">Eating Out </t>
  </si>
  <si>
    <t>Fruits</t>
  </si>
  <si>
    <t>Curd</t>
  </si>
  <si>
    <t>Zepto-Oats, choclate cake</t>
  </si>
  <si>
    <t>Egg, Milk</t>
  </si>
  <si>
    <t>Tomato</t>
  </si>
  <si>
    <t>Market, Yelahanka</t>
  </si>
  <si>
    <t>Coconut Drink</t>
  </si>
  <si>
    <t>Ithihaas</t>
  </si>
  <si>
    <t>Dress Alteration</t>
  </si>
  <si>
    <t>Soap, Paste</t>
  </si>
  <si>
    <t>SBC to TEN, IRCTC</t>
  </si>
  <si>
    <t>Jai EMI Amnt</t>
  </si>
  <si>
    <t>Cold tablet</t>
  </si>
  <si>
    <t>Toilet</t>
  </si>
  <si>
    <t>SETC BG to Krishnagiri</t>
  </si>
  <si>
    <t>Mrng Breakfast</t>
  </si>
  <si>
    <t>Krishnagiri to Uthangarai</t>
  </si>
  <si>
    <t>Uthangarai to Krishnagiri</t>
  </si>
  <si>
    <t>Bike Praking</t>
  </si>
  <si>
    <t>Krishnagiri to BG</t>
  </si>
  <si>
    <t>Malabar Foods</t>
  </si>
  <si>
    <t>Kollu, Coriander</t>
  </si>
  <si>
    <t>Milk</t>
  </si>
  <si>
    <t>KSRTC Trichy to BG-Cancelled</t>
  </si>
  <si>
    <t>TNSTC BG to Salem-Cancelled</t>
  </si>
  <si>
    <t>SETC -BG to Perambalur</t>
  </si>
  <si>
    <t>SETC -Perambalur to  BG</t>
  </si>
  <si>
    <t>Arav  Farms</t>
  </si>
  <si>
    <t>Wifi-Selvarani</t>
  </si>
  <si>
    <t>Fruits-Pappaya</t>
  </si>
  <si>
    <t>Clip, Kerchief</t>
  </si>
  <si>
    <t>Bindhi</t>
  </si>
  <si>
    <t>To Fighter</t>
  </si>
  <si>
    <t>Oil Jar, Flipkart</t>
  </si>
  <si>
    <t>Renu -Dress</t>
  </si>
  <si>
    <t>To Parimalam</t>
  </si>
  <si>
    <t>Saree</t>
  </si>
  <si>
    <t>Zepto-Weight Machine</t>
  </si>
  <si>
    <t>Mall Parking</t>
  </si>
  <si>
    <t>Threading</t>
  </si>
  <si>
    <t>Home Rent</t>
  </si>
  <si>
    <t>Redbus: BG to Bhavani</t>
  </si>
  <si>
    <t>Ajio, Jacket</t>
  </si>
  <si>
    <t>Redbus: Bhavani to BG</t>
  </si>
  <si>
    <t>IRCTC BG to Tirunelveli-Cancelled</t>
  </si>
  <si>
    <t>IRCTC Turicorin to BG-Cancelled</t>
  </si>
  <si>
    <t>Rapido</t>
  </si>
  <si>
    <t>Murugan Stores</t>
  </si>
  <si>
    <t>Jio Recharge Data Pack</t>
  </si>
  <si>
    <t>Uber</t>
  </si>
  <si>
    <t>Book</t>
  </si>
  <si>
    <t>CC Bill</t>
  </si>
  <si>
    <t>Zip Tag</t>
  </si>
  <si>
    <t>Fruits Marapannor</t>
  </si>
  <si>
    <t>BSNL Recharge to Naveem</t>
  </si>
  <si>
    <t>Don't Know</t>
  </si>
  <si>
    <t>Biriyani Corner</t>
  </si>
  <si>
    <t>Perambalur Shopping</t>
  </si>
  <si>
    <t>Domino's</t>
  </si>
  <si>
    <t>Renu Recharge</t>
  </si>
  <si>
    <t>Lunch</t>
  </si>
  <si>
    <t>Don’t Know</t>
  </si>
  <si>
    <t>Vegetables</t>
  </si>
  <si>
    <t>National hypermarket</t>
  </si>
  <si>
    <t>ATM Withdrawl</t>
  </si>
  <si>
    <t>Airtel Wifi</t>
  </si>
  <si>
    <t>SCAM</t>
  </si>
  <si>
    <t>Tea Snacks</t>
  </si>
  <si>
    <t>Apollo</t>
  </si>
  <si>
    <t>Parotta</t>
  </si>
  <si>
    <t>Dine Spot</t>
  </si>
  <si>
    <t>Tablet</t>
  </si>
  <si>
    <t>Bakery</t>
  </si>
  <si>
    <t>Apple, Vegetable</t>
  </si>
  <si>
    <t>Watermelon</t>
  </si>
  <si>
    <t>Allowances</t>
  </si>
  <si>
    <t>Savings Total</t>
  </si>
  <si>
    <t>Dairy Milk</t>
  </si>
  <si>
    <t>Burger</t>
  </si>
  <si>
    <t>Puliyur EB Bill</t>
  </si>
  <si>
    <t>Coriander Leaves</t>
  </si>
  <si>
    <t>(blank)</t>
  </si>
  <si>
    <t>Gow Jio</t>
  </si>
  <si>
    <t>Credit Card Bill-Axis</t>
  </si>
  <si>
    <t>To Home</t>
  </si>
  <si>
    <t>Zerodha</t>
  </si>
  <si>
    <t>Jimiki</t>
  </si>
  <si>
    <t>Arav Farms</t>
  </si>
  <si>
    <t>Zudio</t>
  </si>
  <si>
    <t>Helmet Lock</t>
  </si>
  <si>
    <t>Momo's</t>
  </si>
  <si>
    <t>Nandana Palace</t>
  </si>
  <si>
    <t>Zepto-Potato, Milk</t>
  </si>
  <si>
    <t>To Renu Thatha</t>
  </si>
  <si>
    <t>Cylinder</t>
  </si>
  <si>
    <t>Parker Pen</t>
  </si>
  <si>
    <t>Past</t>
  </si>
  <si>
    <t>Ointment for Neck</t>
  </si>
  <si>
    <t>Shawarma</t>
  </si>
  <si>
    <t>Chilli Chicken</t>
  </si>
  <si>
    <t>Balaji General Stores</t>
  </si>
  <si>
    <t>Auto to Lodge</t>
  </si>
  <si>
    <t>Sherif Bhai Biriyani-Zomato</t>
  </si>
  <si>
    <t>Zepto - Cake</t>
  </si>
  <si>
    <t>Ghee, Paneer</t>
  </si>
  <si>
    <t>Zomato</t>
  </si>
  <si>
    <t>On 27-Feb</t>
  </si>
  <si>
    <t>Train Ticket from AP to SMVT</t>
  </si>
  <si>
    <t>Bus Ticket to AP from BG</t>
  </si>
  <si>
    <t>Auto to SMVT</t>
  </si>
  <si>
    <t>Redbus from Tirunelveli to BG</t>
  </si>
  <si>
    <t>Lunch @ Tirunelveli</t>
  </si>
  <si>
    <t>on 22-Feb</t>
  </si>
  <si>
    <t>Cab from Majestic to Home</t>
  </si>
  <si>
    <t>Local Bus</t>
  </si>
  <si>
    <t>Onion, Watermelon</t>
  </si>
  <si>
    <t>Kaviraj Marriage Train tickets</t>
  </si>
  <si>
    <t>Selvarani Airtel Recharge</t>
  </si>
  <si>
    <t>To Savings Box</t>
  </si>
  <si>
    <t>D-Mart</t>
  </si>
  <si>
    <t>Amar Hotel</t>
  </si>
  <si>
    <t>Masal Poori</t>
  </si>
  <si>
    <t>Bajji</t>
  </si>
  <si>
    <t>Measuring Tape</t>
  </si>
  <si>
    <t>On 28-Feb</t>
  </si>
  <si>
    <t>Malli Poo</t>
  </si>
  <si>
    <t>Clothes</t>
  </si>
  <si>
    <t>Parking</t>
  </si>
  <si>
    <t>Vada Paav</t>
  </si>
  <si>
    <t>Parotta for Kaviraj</t>
  </si>
  <si>
    <t>Tamaq Shawarma</t>
  </si>
  <si>
    <t>Beater</t>
  </si>
  <si>
    <t>Shoes</t>
  </si>
  <si>
    <t>Cupcake Mould</t>
  </si>
  <si>
    <t>Doctor Fee</t>
  </si>
  <si>
    <t>Ram Medicals</t>
  </si>
  <si>
    <t>Saree Sitching</t>
  </si>
  <si>
    <t>Juice</t>
  </si>
  <si>
    <t>Dentist</t>
  </si>
  <si>
    <t>Veggies</t>
  </si>
  <si>
    <t>Big Market</t>
  </si>
  <si>
    <t>Curd, Leaves</t>
  </si>
  <si>
    <t>Shampoo, Soap</t>
  </si>
  <si>
    <t>Lunch @ Aadiyogi</t>
  </si>
  <si>
    <t>Milk, Snacks</t>
  </si>
  <si>
    <t>From Hand Rs.100</t>
  </si>
  <si>
    <t>Parking @ marudhamalai</t>
  </si>
  <si>
    <t>Onion &amp; Garlic</t>
  </si>
  <si>
    <t>To Kaviraj</t>
  </si>
  <si>
    <t>Research 360</t>
  </si>
  <si>
    <t>Selvarani Wifi</t>
  </si>
  <si>
    <t>Kaviraj Marriage</t>
  </si>
  <si>
    <t>Selvarani EMI</t>
  </si>
  <si>
    <t>Internet Bill claim</t>
  </si>
  <si>
    <t>Zepto, Nuts</t>
  </si>
  <si>
    <t>Auto</t>
  </si>
  <si>
    <t>Movie</t>
  </si>
  <si>
    <t>Bun/Cake</t>
  </si>
  <si>
    <t>Semiya</t>
  </si>
  <si>
    <t>Mushroom</t>
  </si>
  <si>
    <t>Milk &amp; Snacks</t>
  </si>
  <si>
    <t>To Zerodha</t>
  </si>
  <si>
    <t>SBI Maintenance</t>
  </si>
  <si>
    <t>To Thatha</t>
  </si>
  <si>
    <t>RKM Bus</t>
  </si>
  <si>
    <t>Bus Ticket</t>
  </si>
  <si>
    <t>Arav</t>
  </si>
  <si>
    <t>Bus to Majestic</t>
  </si>
  <si>
    <t>Bus to St. Jhons</t>
  </si>
  <si>
    <t>Bus to Salem</t>
  </si>
  <si>
    <t>Bus to Attur</t>
  </si>
  <si>
    <t>Soda</t>
  </si>
  <si>
    <t>Milk, Curd</t>
  </si>
  <si>
    <t>Nandini Delux</t>
  </si>
  <si>
    <t>Bus to Perambalur</t>
  </si>
  <si>
    <t>Eating out Accenture</t>
  </si>
  <si>
    <t>Driving School</t>
  </si>
  <si>
    <t>Fruits &amp; Fuel, Goodalur</t>
  </si>
  <si>
    <t>Thangamayil DigiGold</t>
  </si>
  <si>
    <t>Simba</t>
  </si>
  <si>
    <t>Redbus to Bengaluru</t>
  </si>
  <si>
    <t>Flipkart</t>
  </si>
  <si>
    <t>Wifi-Renu</t>
  </si>
  <si>
    <t>Dinespot</t>
  </si>
  <si>
    <t>Selvakumar Vinitha</t>
  </si>
  <si>
    <t>Manimegalai-Selvarasu</t>
  </si>
  <si>
    <t>To Radha Thatha</t>
  </si>
  <si>
    <t>Borrow Repayment</t>
  </si>
  <si>
    <t>Lent to Others</t>
  </si>
  <si>
    <t>Borrowed From</t>
  </si>
  <si>
    <t>Previous Balance</t>
  </si>
  <si>
    <t>🚩Carryforward</t>
  </si>
  <si>
    <t>To Ilanjiyam</t>
  </si>
  <si>
    <t>CC Borrow</t>
  </si>
  <si>
    <t>To Naveen</t>
  </si>
  <si>
    <t>From Ilanjiyam</t>
  </si>
  <si>
    <t>💳Transfer (In)</t>
  </si>
  <si>
    <t>💳Transfer (Out)</t>
  </si>
  <si>
    <t>Lent Repayment</t>
  </si>
  <si>
    <t>CC Borrow Repayment</t>
  </si>
  <si>
    <t>Zomoto</t>
  </si>
  <si>
    <t>EB Bill AP</t>
  </si>
  <si>
    <t>IRCTC BG to ED</t>
  </si>
  <si>
    <t>Selvarani Current bill</t>
  </si>
  <si>
    <t>Gift to Gowtham</t>
  </si>
  <si>
    <t>From Kasanthamani</t>
  </si>
  <si>
    <t>From Accenture</t>
  </si>
  <si>
    <t>CC Repayment</t>
  </si>
  <si>
    <t>Sandal for Renu</t>
  </si>
  <si>
    <t>Naturals</t>
  </si>
  <si>
    <t>Selvarani loan</t>
  </si>
  <si>
    <t>Deream Cake</t>
  </si>
  <si>
    <t>To Vaibhav</t>
  </si>
  <si>
    <t>Sugar</t>
  </si>
  <si>
    <t>Watch repair</t>
  </si>
  <si>
    <t>Water Wash</t>
  </si>
  <si>
    <t>Milk &amp; Curd</t>
  </si>
  <si>
    <t>Vada Paruppu</t>
  </si>
  <si>
    <t>Sunflower Oil</t>
  </si>
  <si>
    <t>Nandhini Delux</t>
  </si>
  <si>
    <t>PVR Inox</t>
  </si>
  <si>
    <t>To Vasanth</t>
  </si>
  <si>
    <t>You tube Movie</t>
  </si>
  <si>
    <t>Mutton &amp; Prawn</t>
  </si>
  <si>
    <t>Massager</t>
  </si>
  <si>
    <t>Sagar Tex</t>
  </si>
  <si>
    <t>Muskan Fashion</t>
  </si>
  <si>
    <t>Marriage Reg. for Vasanth</t>
  </si>
  <si>
    <t>Popeyes</t>
  </si>
  <si>
    <t>Swiggy Instamart</t>
  </si>
  <si>
    <t>Cake Items</t>
  </si>
  <si>
    <t>Metti</t>
  </si>
  <si>
    <t>Dress</t>
  </si>
  <si>
    <t>LLR Application Fee</t>
  </si>
  <si>
    <t>Parimala Rechagre</t>
  </si>
  <si>
    <t>Pregnency Test kit</t>
  </si>
  <si>
    <t>Redbus to Bhavani</t>
  </si>
  <si>
    <t>Water &amp; Soap</t>
  </si>
  <si>
    <t>Golden Bakery</t>
  </si>
  <si>
    <t>Redbus to BG</t>
  </si>
  <si>
    <t>CAB for Savitha</t>
  </si>
  <si>
    <t>Snacks at Hari sandwhich</t>
  </si>
  <si>
    <t>Big Market-Tools Box</t>
  </si>
  <si>
    <t>Big Market-Savitha</t>
  </si>
  <si>
    <t>Water Bottle</t>
  </si>
  <si>
    <t>Taxi to D-Mart</t>
  </si>
  <si>
    <t>Dosa</t>
  </si>
  <si>
    <t>Skate Shoes</t>
  </si>
  <si>
    <t>Harshita HP</t>
  </si>
  <si>
    <t>Bus</t>
  </si>
  <si>
    <t>Chicken Rice</t>
  </si>
  <si>
    <t>To Kasanthamani</t>
  </si>
  <si>
    <t>From Elanjiyam</t>
  </si>
  <si>
    <t>BG Naidu-Bun Butter Jam</t>
  </si>
  <si>
    <t>Lunch-Nalabagam</t>
  </si>
  <si>
    <t>Redbus Perambalur to BG</t>
  </si>
  <si>
    <t>IRCTC ED to BG</t>
  </si>
  <si>
    <t>Cab for Magesh</t>
  </si>
  <si>
    <t>IDFC CC</t>
  </si>
  <si>
    <t>Watch Repair</t>
  </si>
  <si>
    <t>Screw</t>
  </si>
  <si>
    <t>Parcel</t>
  </si>
  <si>
    <t>Kothu Parotta</t>
  </si>
  <si>
    <t>Movie_Snacks</t>
  </si>
  <si>
    <t>Tea &amp; Snacks</t>
  </si>
  <si>
    <t>MotherHood HP</t>
  </si>
  <si>
    <t>Chechide Kada</t>
  </si>
  <si>
    <t>Capacitor</t>
  </si>
  <si>
    <t>CAB_COGI</t>
  </si>
  <si>
    <t>Roll Over</t>
  </si>
  <si>
    <t>Mango</t>
  </si>
  <si>
    <t>Sekar Perippa</t>
  </si>
  <si>
    <t>Number Plate</t>
  </si>
  <si>
    <t>Speedometer Repair</t>
  </si>
  <si>
    <t>Salary Gowtham</t>
  </si>
  <si>
    <t>Salary Renuka</t>
  </si>
  <si>
    <t>Account</t>
  </si>
  <si>
    <t>Person / Description</t>
  </si>
  <si>
    <t>Category Tag</t>
  </si>
  <si>
    <t>Amount Lent (₹)</t>
  </si>
  <si>
    <t>Amount Received Back (₹)</t>
  </si>
  <si>
    <t>Balance Outstanding (₹)</t>
  </si>
  <si>
    <t>S#</t>
  </si>
  <si>
    <t>From Parimala</t>
  </si>
  <si>
    <t>Amount Borrowed (₹)</t>
  </si>
  <si>
    <t>Amount Repaid (₹)</t>
  </si>
  <si>
    <t>Balance Pending (₹)</t>
  </si>
  <si>
    <t>PVR INOX</t>
  </si>
  <si>
    <t>Flipkart Minutes</t>
  </si>
  <si>
    <t>Milk/Curd</t>
  </si>
  <si>
    <t>BMTC</t>
  </si>
  <si>
    <t>Nykaa</t>
  </si>
  <si>
    <t>EB Bill-Puliyur</t>
  </si>
  <si>
    <t>Swiggy</t>
  </si>
  <si>
    <t>Jio Recharge</t>
  </si>
  <si>
    <t>Breakfast</t>
  </si>
  <si>
    <t>Big Market - Slipper</t>
  </si>
  <si>
    <t>Venkatasubbayya</t>
  </si>
  <si>
    <t>Big Market - Fish</t>
  </si>
  <si>
    <t>Bike Repair</t>
  </si>
  <si>
    <t>TNSTC</t>
  </si>
  <si>
    <t>IRCTC Wallet</t>
  </si>
  <si>
    <t>▶  MONEY BORROWED FROM OTHERS  (You received money; need to repay)</t>
  </si>
  <si>
    <t>▶  MONEY LENT TO OTHERS  (You gave money; waiting to get back)</t>
  </si>
  <si>
    <t>📊  NET POSITION SUMMARY</t>
  </si>
  <si>
    <t>Net You Are Still Owed                        →</t>
  </si>
  <si>
    <t>🔑  NET OVERALL POSITION  (Positive = You are owed money)</t>
  </si>
  <si>
    <t>Total You Have Repaid                         →</t>
  </si>
  <si>
    <t>Total Borrowed from Others                 →</t>
  </si>
  <si>
    <t>Net You Still Need to Repay                 →</t>
  </si>
  <si>
    <t>Total Received Back                            →</t>
  </si>
  <si>
    <t>Total Lent to Others                             →</t>
  </si>
  <si>
    <t>From Vasanth</t>
  </si>
  <si>
    <t>From Sundar to Naveen</t>
  </si>
  <si>
    <t>From Selvarani fo Bike</t>
  </si>
  <si>
    <t>EB Bill Parimala</t>
  </si>
  <si>
    <t>Bracelet_Gold Loan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</si>
</sst>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dd/mmm/yyyy"/>
    <numFmt numFmtId="165" formatCode="_ [$₹-4009]\ * #,##0_ ;_ [$₹-4009]\ * \-#,##0_ ;_ [$₹-4009]\ * &quot;-&quot;??_ ;_ @_ "/>
    <numFmt numFmtId="166" formatCode="&quot;₹&quot;#,##0_);&quot;₹&quot;#,##0"/>
    <numFmt numFmtId="167" formatCode="&quot;₹&quot;\ #,##0"/>
    <numFmt numFmtId="168" formatCode="&quot;₹&quot;#,##0_);\(&quot;₹&quot;#,##0\)"/>
  </numFmts>
  <fonts count="3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indexed="81"/>
      <name val="Tahoma"/>
      <charset val="1"/>
    </font>
    <font>
      <sz val="11"/>
      <color theme="1"/>
      <name val="Calibri"/>
      <scheme val="minor"/>
    </font>
    <font>
      <sz val="10"/>
      <color rgb="FFC00000"/>
      <name val="Arial"/>
    </font>
    <font>
      <sz val="10"/>
      <color rgb="FF375623"/>
      <name val="Arial"/>
    </font>
    <font>
      <b/>
      <sz val="11"/>
      <color rgb="FFFFFFFF"/>
      <name val="Arial"/>
      <charset val="1"/>
    </font>
    <font>
      <sz val="11"/>
      <name val="Calibri"/>
      <family val="2"/>
      <scheme val="minor"/>
    </font>
    <font>
      <i/>
      <sz val="11"/>
      <name val="Calibri"/>
      <family val="2"/>
      <scheme val="minor"/>
    </font>
    <font>
      <b/>
      <sz val="11"/>
      <name val="Calibri"/>
      <family val="2"/>
      <scheme val="minor"/>
    </font>
    <font>
      <b/>
      <sz val="12"/>
      <color rgb="FFFFFFFF"/>
      <name val="Arial"/>
      <charset val="1"/>
    </font>
    <font>
      <b/>
      <sz val="10"/>
      <color rgb="FF000000"/>
      <name val="Arial"/>
      <charset val="1"/>
    </font>
    <font>
      <b/>
      <sz val="10"/>
      <color rgb="FFC00000"/>
      <name val="Arial"/>
      <charset val="1"/>
    </font>
    <font>
      <b/>
      <sz val="10"/>
      <color rgb="FF375623"/>
      <name val="Arial"/>
      <charset val="1"/>
    </font>
    <font>
      <b/>
      <sz val="11"/>
      <color rgb="FF1F4E79"/>
      <name val="Arial"/>
      <charset val="1"/>
    </font>
    <font>
      <b/>
      <sz val="11"/>
      <color rgb="FF843C0C"/>
      <name val="Arial"/>
      <charset val="1"/>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bgColor theme="6"/>
      </patternFill>
    </fill>
    <fill>
      <patternFill patternType="solid">
        <fgColor theme="0" tint="-0.34998626667073579"/>
        <bgColor rgb="FF993366"/>
      </patternFill>
    </fill>
    <fill>
      <patternFill patternType="solid">
        <fgColor rgb="FFEBF3FB"/>
        <bgColor rgb="FFF2F2F2"/>
      </patternFill>
    </fill>
    <fill>
      <patternFill patternType="solid">
        <fgColor rgb="FFDEEAF1"/>
        <bgColor rgb="FFEBF3FB"/>
      </patternFill>
    </fill>
    <fill>
      <patternFill patternType="solid">
        <fgColor rgb="FFFDE9D9"/>
        <bgColor rgb="FFFDEBD0"/>
      </patternFill>
    </fill>
    <fill>
      <patternFill patternType="solid">
        <fgColor rgb="FFFCE4D6"/>
        <bgColor rgb="FFFDE9D9"/>
      </patternFill>
    </fill>
    <fill>
      <patternFill patternType="solid">
        <fgColor theme="0" tint="-0.34998626667073579"/>
        <bgColor rgb="FF385623"/>
      </patternFill>
    </fill>
    <fill>
      <patternFill patternType="solid">
        <fgColor theme="0" tint="-0.34998626667073579"/>
        <bgColor rgb="FF003366"/>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style="thin">
        <color theme="0"/>
      </top>
      <bottom style="thin">
        <color theme="0"/>
      </bottom>
      <diagonal/>
    </border>
    <border>
      <left style="thin">
        <color rgb="FFB8B8B8"/>
      </left>
      <right style="thin">
        <color rgb="FFB8B8B8"/>
      </right>
      <top style="thin">
        <color rgb="FFB8B8B8"/>
      </top>
      <bottom style="thin">
        <color rgb="FFB8B8B8"/>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49">
    <xf numFmtId="0" fontId="0" fillId="0" borderId="0" xfId="0"/>
    <xf numFmtId="0" fontId="17" fillId="20" borderId="0" xfId="15"/>
    <xf numFmtId="164" fontId="17" fillId="20" borderId="0" xfId="15" applyNumberFormat="1"/>
    <xf numFmtId="164" fontId="0" fillId="0" borderId="0" xfId="0" applyNumberFormat="1"/>
    <xf numFmtId="0" fontId="17" fillId="20" borderId="0" xfId="15" applyAlignment="1">
      <alignment horizontal="center"/>
    </xf>
    <xf numFmtId="0" fontId="0" fillId="0" borderId="0" xfId="0" applyAlignment="1">
      <alignment horizontal="center"/>
    </xf>
    <xf numFmtId="0" fontId="0" fillId="0" borderId="0" xfId="0" applyAlignment="1">
      <alignment horizontal="left"/>
    </xf>
    <xf numFmtId="165" fontId="0" fillId="0" borderId="0" xfId="0" applyNumberFormat="1"/>
    <xf numFmtId="0" fontId="0" fillId="0" borderId="0" xfId="0" applyNumberFormat="1"/>
    <xf numFmtId="0" fontId="0" fillId="0" borderId="0" xfId="0" pivotButton="1"/>
    <xf numFmtId="14" fontId="0" fillId="0" borderId="0" xfId="0" applyNumberFormat="1"/>
    <xf numFmtId="15" fontId="0" fillId="0" borderId="0" xfId="0" applyNumberFormat="1"/>
    <xf numFmtId="0" fontId="0" fillId="0" borderId="0" xfId="0" applyAlignment="1">
      <alignment wrapText="1"/>
    </xf>
    <xf numFmtId="164" fontId="0" fillId="0" borderId="0" xfId="0" applyNumberFormat="1" applyAlignment="1">
      <alignment wrapText="1"/>
    </xf>
    <xf numFmtId="166" fontId="0" fillId="0" borderId="0" xfId="0" applyNumberFormat="1"/>
    <xf numFmtId="0" fontId="0" fillId="0" borderId="0" xfId="0" applyAlignment="1">
      <alignment horizontal="left" indent="1"/>
    </xf>
    <xf numFmtId="167" fontId="0" fillId="0" borderId="0" xfId="0" applyNumberFormat="1"/>
    <xf numFmtId="0" fontId="0" fillId="0" borderId="0" xfId="0" applyAlignment="1">
      <alignment horizontal="right"/>
    </xf>
    <xf numFmtId="168" fontId="0" fillId="0" borderId="0" xfId="0" applyNumberFormat="1"/>
    <xf numFmtId="15" fontId="0" fillId="0" borderId="0" xfId="0" applyNumberFormat="1" applyAlignment="1">
      <alignment horizontal="center"/>
    </xf>
    <xf numFmtId="16" fontId="0" fillId="0" borderId="0" xfId="0" applyNumberFormat="1" applyAlignment="1">
      <alignment horizontal="center"/>
    </xf>
    <xf numFmtId="16" fontId="0" fillId="0" borderId="0" xfId="0" applyNumberFormat="1"/>
    <xf numFmtId="0" fontId="0" fillId="0" borderId="0" xfId="0" applyFill="1" applyBorder="1"/>
    <xf numFmtId="0" fontId="13" fillId="33" borderId="0" xfId="0" applyFont="1" applyFill="1" applyBorder="1" applyAlignment="1">
      <alignment wrapText="1"/>
    </xf>
    <xf numFmtId="0" fontId="0" fillId="0" borderId="0" xfId="0" applyFont="1" applyFill="1" applyBorder="1" applyAlignment="1">
      <alignment horizontal="left"/>
    </xf>
    <xf numFmtId="0" fontId="23" fillId="0" borderId="0" xfId="0" applyFont="1" applyFill="1" applyBorder="1" applyAlignment="1">
      <alignment horizontal="center" vertical="center"/>
    </xf>
    <xf numFmtId="0" fontId="23" fillId="0" borderId="0" xfId="0" applyFont="1" applyFill="1" applyBorder="1" applyAlignment="1">
      <alignment horizontal="left" vertical="center"/>
    </xf>
    <xf numFmtId="0" fontId="24" fillId="0" borderId="0" xfId="0" applyFont="1" applyFill="1" applyBorder="1" applyAlignment="1">
      <alignment horizontal="center" vertical="center"/>
    </xf>
    <xf numFmtId="0" fontId="24" fillId="0" borderId="0" xfId="0" applyFont="1" applyFill="1" applyBorder="1" applyAlignment="1">
      <alignment horizontal="left" vertical="center"/>
    </xf>
    <xf numFmtId="15" fontId="0" fillId="0" borderId="0" xfId="0" applyNumberFormat="1" applyBorder="1" applyAlignment="1">
      <alignment horizontal="center"/>
    </xf>
    <xf numFmtId="0" fontId="19" fillId="0" borderId="0" xfId="0" applyFont="1" applyFill="1" applyBorder="1" applyAlignment="1">
      <alignment horizontal="left"/>
    </xf>
    <xf numFmtId="0" fontId="0" fillId="0" borderId="0" xfId="0" applyFont="1"/>
    <xf numFmtId="165" fontId="21" fillId="0" borderId="0" xfId="0" applyNumberFormat="1" applyFont="1" applyFill="1" applyBorder="1" applyAlignment="1">
      <alignment horizontal="right" vertical="center"/>
    </xf>
    <xf numFmtId="165" fontId="20" fillId="0" borderId="0" xfId="0" applyNumberFormat="1" applyFont="1" applyFill="1" applyBorder="1" applyAlignment="1">
      <alignment horizontal="right" vertical="center"/>
    </xf>
    <xf numFmtId="165" fontId="25" fillId="0" borderId="0" xfId="0" applyNumberFormat="1" applyFont="1" applyFill="1" applyBorder="1" applyAlignment="1">
      <alignment horizontal="right" vertical="center"/>
    </xf>
    <xf numFmtId="0" fontId="27" fillId="37" borderId="0" xfId="0" applyFont="1" applyFill="1" applyBorder="1" applyAlignment="1">
      <alignment horizontal="left" vertical="center"/>
    </xf>
    <xf numFmtId="3" fontId="28" fillId="37" borderId="11" xfId="0" applyNumberFormat="1" applyFont="1" applyFill="1" applyBorder="1" applyAlignment="1">
      <alignment horizontal="right" vertical="center"/>
    </xf>
    <xf numFmtId="0" fontId="27" fillId="38" borderId="0" xfId="0" applyFont="1" applyFill="1" applyBorder="1" applyAlignment="1">
      <alignment horizontal="left" vertical="center"/>
    </xf>
    <xf numFmtId="3" fontId="31" fillId="38" borderId="11" xfId="0" applyNumberFormat="1" applyFont="1" applyFill="1" applyBorder="1" applyAlignment="1">
      <alignment horizontal="right" vertical="center"/>
    </xf>
    <xf numFmtId="0" fontId="22" fillId="40" borderId="0" xfId="0" applyFont="1" applyFill="1" applyBorder="1" applyAlignment="1">
      <alignment horizontal="left" vertical="center"/>
    </xf>
    <xf numFmtId="3" fontId="26" fillId="40" borderId="11" xfId="0" applyNumberFormat="1" applyFont="1" applyFill="1" applyBorder="1" applyAlignment="1">
      <alignment horizontal="right" vertical="center"/>
    </xf>
    <xf numFmtId="0" fontId="27" fillId="35" borderId="0" xfId="0" applyFont="1" applyFill="1" applyBorder="1" applyAlignment="1">
      <alignment horizontal="left" vertical="center"/>
    </xf>
    <xf numFmtId="3" fontId="29" fillId="35" borderId="11" xfId="0" applyNumberFormat="1" applyFont="1" applyFill="1" applyBorder="1" applyAlignment="1">
      <alignment horizontal="right" vertical="center"/>
    </xf>
    <xf numFmtId="0" fontId="27" fillId="36" borderId="0" xfId="0" applyFont="1" applyFill="1" applyBorder="1" applyAlignment="1">
      <alignment horizontal="left" vertical="center"/>
    </xf>
    <xf numFmtId="3" fontId="30" fillId="36" borderId="11" xfId="0" applyNumberFormat="1" applyFont="1" applyFill="1" applyBorder="1" applyAlignment="1">
      <alignment horizontal="right" vertical="center"/>
    </xf>
    <xf numFmtId="3" fontId="29" fillId="37" borderId="11" xfId="0" applyNumberFormat="1" applyFont="1" applyFill="1" applyBorder="1" applyAlignment="1">
      <alignment horizontal="right" vertical="center"/>
    </xf>
    <xf numFmtId="0" fontId="22" fillId="34" borderId="10" xfId="0" applyFont="1" applyFill="1" applyBorder="1" applyAlignment="1">
      <alignment horizontal="left" vertical="center"/>
    </xf>
    <xf numFmtId="0" fontId="26" fillId="39" borderId="0" xfId="0" applyFont="1" applyFill="1" applyBorder="1" applyAlignment="1">
      <alignment horizontal="center" vertical="center"/>
    </xf>
    <xf numFmtId="3" fontId="28" fillId="35" borderId="11" xfId="0" applyNumberFormat="1" applyFont="1" applyFill="1" applyBorder="1" applyAlignment="1">
      <alignment horizontal="right" vertic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73">
    <dxf>
      <numFmt numFmtId="168" formatCode="&quot;₹&quot;#,##0_);\(&quot;₹&quot;#,##0\)"/>
    </dxf>
    <dxf>
      <numFmt numFmtId="168" formatCode="&quot;₹&quot;#,##0_);\(&quot;₹&quot;#,##0\)"/>
    </dxf>
    <dxf>
      <numFmt numFmtId="169" formatCode="&quot;₹&quot;#,##0;&quot;₹&quot;#,##0"/>
    </dxf>
    <dxf>
      <numFmt numFmtId="168" formatCode="&quot;₹&quot;#,##0_);\(&quot;₹&quot;#,##0\)"/>
    </dxf>
    <dxf>
      <numFmt numFmtId="169" formatCode="&quot;₹&quot;#,##0;&quot;₹&quot;#,##0"/>
    </dxf>
    <dxf>
      <numFmt numFmtId="168" formatCode="&quot;₹&quot;#,##0_);\(&quot;₹&quot;#,##0\)"/>
    </dxf>
    <dxf>
      <numFmt numFmtId="168" formatCode="&quot;₹&quot;#,##0_);\(&quot;₹&quot;#,##0\)"/>
    </dxf>
    <dxf>
      <numFmt numFmtId="169" formatCode="&quot;₹&quot;#,##0;&quot;₹&quot;#,##0"/>
    </dxf>
    <dxf>
      <numFmt numFmtId="168" formatCode="&quot;₹&quot;#,##0_);\(&quot;₹&quot;#,##0\)"/>
    </dxf>
    <dxf>
      <numFmt numFmtId="168" formatCode="&quot;₹&quot;#,##0_);\(&quot;₹&quot;#,##0\)"/>
    </dxf>
    <dxf>
      <numFmt numFmtId="169" formatCode="&quot;₹&quot;#,##0;&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font>
        <strike val="0"/>
        <outline val="0"/>
        <shadow val="0"/>
        <u val="none"/>
        <vertAlign val="baseline"/>
        <sz val="11"/>
        <color auto="1"/>
        <name val="Calibri"/>
        <scheme val="minor"/>
      </font>
      <fill>
        <patternFill patternType="none">
          <fgColor indexed="64"/>
          <bgColor auto="1"/>
        </patternFill>
      </fill>
    </dxf>
    <dxf>
      <font>
        <strike val="0"/>
        <outline val="0"/>
        <shadow val="0"/>
        <u val="none"/>
        <vertAlign val="baseline"/>
        <sz val="11"/>
        <color auto="1"/>
        <name val="Calibri"/>
        <scheme val="minor"/>
      </font>
      <numFmt numFmtId="165" formatCode="_ [$₹-4009]\ * #,##0_ ;_ [$₹-4009]\ * \-#,##0_ ;_ [$₹-4009]\ * &quot;-&quot;??_ ;_ @_ "/>
      <fill>
        <patternFill patternType="none">
          <fgColor indexed="64"/>
          <bgColor auto="1"/>
        </patternFill>
      </fill>
    </dxf>
    <dxf>
      <font>
        <strike val="0"/>
        <outline val="0"/>
        <shadow val="0"/>
        <u val="none"/>
        <vertAlign val="baseline"/>
        <sz val="10"/>
        <color rgb="FF375623"/>
        <name val="Arial"/>
        <scheme val="none"/>
      </font>
      <numFmt numFmtId="165" formatCode="_ [$₹-4009]\ * #,##0_ ;_ [$₹-4009]\ * \-#,##0_ ;_ [$₹-4009]\ * &quot;-&quot;??_ ;_ @_ "/>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0"/>
        <color rgb="FFC00000"/>
        <name val="Arial"/>
        <scheme val="none"/>
      </font>
      <numFmt numFmtId="165" formatCode="_ [$₹-4009]\ * #,##0_ ;_ [$₹-4009]\ * \-#,##0_ ;_ [$₹-4009]\ * &quot;-&quot;??_ ;_ @_ "/>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1"/>
        <color auto="1"/>
        <name val="Calibri"/>
        <scheme val="minor"/>
      </font>
      <fill>
        <patternFill patternType="none">
          <fgColor indexed="64"/>
          <bgColor auto="1"/>
        </patternFill>
      </fill>
    </dxf>
    <dxf>
      <font>
        <strike val="0"/>
        <outline val="0"/>
        <shadow val="0"/>
        <u val="none"/>
        <vertAlign val="baseline"/>
        <sz val="11"/>
        <color auto="1"/>
        <name val="Calibri"/>
        <scheme val="minor"/>
      </font>
      <fill>
        <patternFill patternType="none">
          <fgColor indexed="64"/>
          <bgColor auto="1"/>
        </patternFill>
      </fill>
    </dxf>
    <dxf>
      <font>
        <strike val="0"/>
        <outline val="0"/>
        <shadow val="0"/>
        <u val="none"/>
        <vertAlign val="baseline"/>
        <sz val="11"/>
        <color auto="1"/>
        <name val="Calibri"/>
        <scheme val="minor"/>
      </font>
      <numFmt numFmtId="20" formatCode="dd/mmm/yy"/>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1"/>
        <color auto="1"/>
        <name val="Calibri"/>
        <scheme val="minor"/>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color auto="1"/>
        <name val="Calibri"/>
        <scheme val="minor"/>
      </font>
      <fill>
        <patternFill patternType="none">
          <fgColor indexed="64"/>
          <bgColor auto="1"/>
        </patternFill>
      </fill>
    </dxf>
    <dxf>
      <font>
        <strike val="0"/>
        <outline val="0"/>
        <shadow val="0"/>
        <u val="none"/>
        <vertAlign val="baseline"/>
        <sz val="11"/>
        <color auto="1"/>
        <name val="Calibri"/>
        <scheme val="minor"/>
      </font>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general" vertical="bottom" textRotation="0" wrapText="1" indent="0" justifyLastLine="0" shrinkToFit="0" readingOrder="0"/>
    </dxf>
    <dxf>
      <fill>
        <patternFill patternType="none">
          <fgColor indexed="64"/>
          <bgColor indexed="65"/>
        </patternFill>
      </fill>
    </dxf>
    <dxf>
      <fill>
        <patternFill patternType="none">
          <bgColor auto="1"/>
        </patternFill>
      </fill>
    </dxf>
    <dxf>
      <font>
        <b/>
        <i val="0"/>
        <strike val="0"/>
        <condense val="0"/>
        <extend val="0"/>
        <outline val="0"/>
        <shadow val="0"/>
        <u val="none"/>
        <vertAlign val="baseline"/>
        <sz val="10"/>
        <color auto="1"/>
        <name val="Arial"/>
        <scheme val="none"/>
      </font>
      <fill>
        <patternFill patternType="none">
          <fgColor indexed="64"/>
          <bgColor indexed="65"/>
        </patternFill>
      </fill>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165" formatCode="_ [$₹-4009]\ * #,##0_ ;_ [$₹-4009]\ * \-#,##0_ ;_ [$₹-4009]\ * &quot;-&quot;??_ ;_ @_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rgb="FFC00000"/>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rgb="FFC00000"/>
        <name val="Arial"/>
        <scheme val="none"/>
      </font>
      <numFmt numFmtId="165" formatCode="_ [$₹-4009]\ * #,##0_ ;_ [$₹-4009]\ * \-#,##0_ ;_ [$₹-4009]\ * &quot;-&quot;??_ ;_ @_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rgb="FF375623"/>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rgb="FF375623"/>
        <name val="Arial"/>
        <scheme val="none"/>
      </font>
      <numFmt numFmtId="165" formatCode="_ [$₹-4009]\ * #,##0_ ;_ [$₹-4009]\ * \-#,##0_ ;_ [$₹-4009]\ * &quot;-&quot;??_ ;_ @_ "/>
      <fill>
        <patternFill patternType="none">
          <fgColor indexed="64"/>
          <bgColor indexed="65"/>
        </patternFill>
      </fill>
      <alignment horizontal="right" vertical="center" textRotation="0" wrapText="0" indent="0" justifyLastLine="0" shrinkToFit="0" readingOrder="0"/>
    </dxf>
    <dxf>
      <font>
        <b val="0"/>
        <i/>
        <strike val="0"/>
        <condense val="0"/>
        <extend val="0"/>
        <outline val="0"/>
        <shadow val="0"/>
        <u val="none"/>
        <vertAlign val="baseline"/>
        <sz val="11"/>
        <color auto="1"/>
        <name val="Calibri"/>
        <scheme val="minor"/>
      </font>
      <fill>
        <patternFill patternType="none">
          <fgColor indexed="64"/>
          <bgColor indexed="65"/>
        </patternFill>
      </fill>
      <alignment horizontal="center" vertical="center" textRotation="0" wrapText="0" indent="0" justifyLastLine="0" shrinkToFit="0" readingOrder="0"/>
    </dxf>
    <dxf>
      <font>
        <i/>
        <color auto="1"/>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theme="6" tint="0.7999816888943144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20" formatCode="dd/mmm/yy"/>
      <fill>
        <patternFill patternType="none">
          <fgColor theme="6" tint="0.79998168889431442"/>
          <bgColor auto="1"/>
        </patternFill>
      </fill>
      <alignment horizontal="center" vertical="bottom" textRotation="0" wrapText="0" indent="0" justifyLastLine="0" shrinkToFit="0" readingOrder="0"/>
    </dxf>
    <dxf>
      <fill>
        <patternFill patternType="none">
          <fgColor indexed="64"/>
          <bgColor indexed="65"/>
        </patternFill>
      </fill>
    </dxf>
    <dxf>
      <fill>
        <patternFill patternType="none">
          <bgColor auto="1"/>
        </patternFill>
      </fill>
    </dxf>
    <dxf>
      <fill>
        <patternFill patternType="none">
          <fgColor indexed="64"/>
          <bgColor indexed="65"/>
        </patternFill>
      </fill>
    </dxf>
    <dxf>
      <fill>
        <patternFill patternType="none">
          <bgColor auto="1"/>
        </patternFill>
      </fill>
    </dxf>
    <dxf>
      <fill>
        <patternFill patternType="none">
          <bgColor auto="1"/>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general" vertical="bottom" textRotation="0" wrapText="1" indent="0" justifyLastLine="0" shrinkToFit="0" readingOrder="0"/>
      <border diagonalUp="0" diagonalDown="0" outline="0">
        <left style="thin">
          <color theme="0"/>
        </left>
        <right style="thin">
          <color theme="0"/>
        </right>
        <top/>
        <bottom/>
      </border>
    </dxf>
    <dxf>
      <numFmt numFmtId="167" formatCode="&quot;₹&quot;\ #,##0"/>
    </dxf>
    <dxf>
      <numFmt numFmtId="167" formatCode="&quot;₹&quot;\ #,##0"/>
    </dxf>
    <dxf>
      <numFmt numFmtId="20" formatCode="dd/mmm/yy"/>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[Expense Tracker_v4.xlsx]ANALYSIS!ExpbyCategory</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600" b="1" i="0" cap="all" baseline="0">
                <a:effectLst/>
              </a:rPr>
              <a:t>Expenses by category</a:t>
            </a:r>
            <a:endParaRPr lang="en-IN" sz="1600">
              <a:effectLst/>
            </a:endParaRPr>
          </a:p>
        </c:rich>
      </c:tx>
      <c:layout>
        <c:manualLayout>
          <c:xMode val="edge"/>
          <c:yMode val="edge"/>
          <c:x val="3.0863247716306177E-2"/>
          <c:y val="1.820072802912116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spPr>
          <a:solidFill>
            <a:schemeClr val="dk1">
              <a:tint val="88500"/>
              <a:alpha val="85000"/>
            </a:schemeClr>
          </a:solidFill>
          <a:ln w="9525" cap="flat" cmpd="sng" algn="ctr">
            <a:solidFill>
              <a:schemeClr val="lt1">
                <a:alpha val="50000"/>
              </a:schemeClr>
            </a:solidFill>
            <a:round/>
          </a:ln>
          <a:effectLst/>
        </c:spPr>
        <c:marker>
          <c:spPr>
            <a:solidFill>
              <a:schemeClr val="dk1">
                <a:tint val="88500"/>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dk1">
              <a:tint val="88500"/>
              <a:alpha val="85000"/>
            </a:schemeClr>
          </a:solidFill>
          <a:ln w="9525" cap="flat" cmpd="sng" algn="ctr">
            <a:solidFill>
              <a:schemeClr val="lt1">
                <a:alpha val="50000"/>
              </a:schemeClr>
            </a:solidFill>
            <a:round/>
          </a:ln>
          <a:effectLst/>
        </c:spPr>
        <c:marker>
          <c:spPr>
            <a:solidFill>
              <a:schemeClr val="dk1">
                <a:tint val="88500"/>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dk1">
              <a:tint val="885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dk1">
              <a:tint val="885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dk1">
              <a:tint val="88500"/>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dk1">
              <a:tint val="88500"/>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7067760088940848"/>
          <c:y val="0.13043002035042034"/>
          <c:w val="0.78605915254043024"/>
          <c:h val="0.84096883560381774"/>
        </c:manualLayout>
      </c:layout>
      <c:barChart>
        <c:barDir val="bar"/>
        <c:grouping val="clustered"/>
        <c:varyColors val="0"/>
        <c:ser>
          <c:idx val="0"/>
          <c:order val="0"/>
          <c:tx>
            <c:strRef>
              <c:f>ANALYSIS!$E$11</c:f>
              <c:strCache>
                <c:ptCount val="1"/>
                <c:pt idx="0">
                  <c:v>Sum of Actual</c:v>
                </c:pt>
              </c:strCache>
            </c:strRef>
          </c:tx>
          <c:spPr>
            <a:solidFill>
              <a:schemeClr val="dk1">
                <a:tint val="885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ANALYSIS!$D$12:$D$19</c:f>
              <c:strCache>
                <c:ptCount val="8"/>
                <c:pt idx="0">
                  <c:v>✈Transportation</c:v>
                </c:pt>
                <c:pt idx="1">
                  <c:v>⛑Health</c:v>
                </c:pt>
                <c:pt idx="2">
                  <c:v>🍴Daily Living</c:v>
                </c:pt>
                <c:pt idx="3">
                  <c:v>🎥Entertainment</c:v>
                </c:pt>
                <c:pt idx="4">
                  <c:v>🏠Home Expenses</c:v>
                </c:pt>
                <c:pt idx="5">
                  <c:v>💸Bills/Subscriptions</c:v>
                </c:pt>
                <c:pt idx="6">
                  <c:v>😐Obligations</c:v>
                </c:pt>
                <c:pt idx="7">
                  <c:v>💳Transfer (Out)</c:v>
                </c:pt>
              </c:strCache>
            </c:strRef>
          </c:cat>
          <c:val>
            <c:numRef>
              <c:f>ANALYSIS!$E$12:$E$19</c:f>
              <c:numCache>
                <c:formatCode>"₹"#,##0_);\("₹"#,##0\)</c:formatCode>
                <c:ptCount val="8"/>
                <c:pt idx="0">
                  <c:v>-13772</c:v>
                </c:pt>
                <c:pt idx="1">
                  <c:v>-4514</c:v>
                </c:pt>
                <c:pt idx="2">
                  <c:v>-16107.66</c:v>
                </c:pt>
                <c:pt idx="3">
                  <c:v>-2476</c:v>
                </c:pt>
                <c:pt idx="4">
                  <c:v>-18518</c:v>
                </c:pt>
                <c:pt idx="5">
                  <c:v>-2222</c:v>
                </c:pt>
                <c:pt idx="6">
                  <c:v>-9621</c:v>
                </c:pt>
                <c:pt idx="7">
                  <c:v>-27408</c:v>
                </c:pt>
              </c:numCache>
            </c:numRef>
          </c:val>
          <c:extLst>
            <c:ext xmlns:c16="http://schemas.microsoft.com/office/drawing/2014/chart" uri="{C3380CC4-5D6E-409C-BE32-E72D297353CC}">
              <c16:uniqueId val="{00000000-8710-4995-8366-ABE985A3C8EC}"/>
            </c:ext>
          </c:extLst>
        </c:ser>
        <c:ser>
          <c:idx val="1"/>
          <c:order val="1"/>
          <c:tx>
            <c:strRef>
              <c:f>ANALYSIS!$F$11</c:f>
              <c:strCache>
                <c:ptCount val="1"/>
                <c:pt idx="0">
                  <c:v>Sum of Budget</c:v>
                </c:pt>
              </c:strCache>
            </c:strRef>
          </c:tx>
          <c:spPr>
            <a:solidFill>
              <a:schemeClr val="dk1">
                <a:tint val="5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ANALYSIS!$D$12:$D$19</c:f>
              <c:strCache>
                <c:ptCount val="8"/>
                <c:pt idx="0">
                  <c:v>✈Transportation</c:v>
                </c:pt>
                <c:pt idx="1">
                  <c:v>⛑Health</c:v>
                </c:pt>
                <c:pt idx="2">
                  <c:v>🍴Daily Living</c:v>
                </c:pt>
                <c:pt idx="3">
                  <c:v>🎥Entertainment</c:v>
                </c:pt>
                <c:pt idx="4">
                  <c:v>🏠Home Expenses</c:v>
                </c:pt>
                <c:pt idx="5">
                  <c:v>💸Bills/Subscriptions</c:v>
                </c:pt>
                <c:pt idx="6">
                  <c:v>😐Obligations</c:v>
                </c:pt>
                <c:pt idx="7">
                  <c:v>💳Transfer (Out)</c:v>
                </c:pt>
              </c:strCache>
            </c:strRef>
          </c:cat>
          <c:val>
            <c:numRef>
              <c:f>ANALYSIS!$F$12:$F$19</c:f>
              <c:numCache>
                <c:formatCode>"₹"#,##0_);\("₹"#,##0\)</c:formatCode>
                <c:ptCount val="8"/>
                <c:pt idx="0">
                  <c:v>-14300</c:v>
                </c:pt>
                <c:pt idx="1">
                  <c:v>-3000</c:v>
                </c:pt>
                <c:pt idx="2">
                  <c:v>-12000</c:v>
                </c:pt>
                <c:pt idx="3">
                  <c:v>-1000</c:v>
                </c:pt>
                <c:pt idx="4">
                  <c:v>-18050</c:v>
                </c:pt>
                <c:pt idx="5">
                  <c:v>-2299</c:v>
                </c:pt>
                <c:pt idx="6">
                  <c:v>-9621</c:v>
                </c:pt>
                <c:pt idx="7">
                  <c:v>0</c:v>
                </c:pt>
              </c:numCache>
            </c:numRef>
          </c:val>
          <c:extLst>
            <c:ext xmlns:c16="http://schemas.microsoft.com/office/drawing/2014/chart" uri="{C3380CC4-5D6E-409C-BE32-E72D297353CC}">
              <c16:uniqueId val="{00000001-8710-4995-8366-ABE985A3C8EC}"/>
            </c:ext>
          </c:extLst>
        </c:ser>
        <c:dLbls>
          <c:dLblPos val="inEnd"/>
          <c:showLegendKey val="0"/>
          <c:showVal val="1"/>
          <c:showCatName val="0"/>
          <c:showSerName val="0"/>
          <c:showPercent val="0"/>
          <c:showBubbleSize val="0"/>
        </c:dLbls>
        <c:gapWidth val="65"/>
        <c:axId val="2030945056"/>
        <c:axId val="2030932160"/>
      </c:barChart>
      <c:catAx>
        <c:axId val="2030945056"/>
        <c:scaling>
          <c:orientation val="maxMin"/>
        </c:scaling>
        <c:delete val="0"/>
        <c:axPos val="r"/>
        <c:numFmt formatCode="General" sourceLinked="1"/>
        <c:majorTickMark val="none"/>
        <c:minorTickMark val="none"/>
        <c:tickLblPos val="high"/>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30932160"/>
        <c:crosses val="autoZero"/>
        <c:auto val="1"/>
        <c:lblAlgn val="ctr"/>
        <c:lblOffset val="100"/>
        <c:noMultiLvlLbl val="0"/>
      </c:catAx>
      <c:valAx>
        <c:axId val="2030932160"/>
        <c:scaling>
          <c:orientation val="maxMin"/>
        </c:scaling>
        <c:delete val="0"/>
        <c:axPos val="t"/>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30945056"/>
        <c:crosses val="autoZero"/>
        <c:crossBetween val="between"/>
      </c:valAx>
      <c:spPr>
        <a:noFill/>
        <a:ln>
          <a:noFill/>
        </a:ln>
        <a:effectLst/>
      </c:spPr>
    </c:plotArea>
    <c:legend>
      <c:legendPos val="t"/>
      <c:layout>
        <c:manualLayout>
          <c:xMode val="edge"/>
          <c:yMode val="edge"/>
          <c:x val="0.71554903208059695"/>
          <c:y val="2.6235049401976084E-2"/>
          <c:w val="0.28445092592592591"/>
          <c:h val="3.2411027861530627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[Expense Tracker_v4.xlsx]ANALYSIS!ExpActBud</c:name>
    <c:fmtId val="2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EXPENSES</a:t>
            </a:r>
            <a:r>
              <a:rPr lang="en-IN" sz="1600" b="1" baseline="0"/>
              <a:t> BY MONTH</a:t>
            </a:r>
            <a:endParaRPr lang="en-IN" sz="1600" b="1"/>
          </a:p>
        </c:rich>
      </c:tx>
      <c:layout>
        <c:manualLayout>
          <c:xMode val="edge"/>
          <c:yMode val="edge"/>
          <c:x val="2.6775597130161539E-3"/>
          <c:y val="0"/>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pivotFmt>
      <c:pivotFmt>
        <c:idx val="2"/>
        <c:spPr>
          <a:solidFill>
            <a:schemeClr val="accent3"/>
          </a:solidFill>
          <a:ln>
            <a:noFill/>
          </a:ln>
          <a:effectLst/>
        </c:spPr>
        <c:marker>
          <c:symbol val="none"/>
        </c:marker>
      </c:pivotFmt>
      <c:pivotFmt>
        <c:idx val="3"/>
        <c:spPr>
          <a:solidFill>
            <a:schemeClr val="accent3"/>
          </a:solidFill>
          <a:ln>
            <a:noFill/>
          </a:ln>
          <a:effectLst/>
        </c:spPr>
        <c:marker>
          <c:symbol val="none"/>
        </c:marker>
      </c:pivotFmt>
      <c:pivotFmt>
        <c:idx val="4"/>
        <c:spPr>
          <a:solidFill>
            <a:schemeClr val="accent3"/>
          </a:solidFill>
          <a:ln>
            <a:noFill/>
          </a:ln>
          <a:effectLst/>
        </c:spPr>
        <c:marker>
          <c:symbol val="none"/>
        </c:marker>
      </c:pivotFmt>
      <c:pivotFmt>
        <c:idx val="5"/>
        <c:spPr>
          <a:solidFill>
            <a:schemeClr val="accent3"/>
          </a:solidFill>
          <a:ln>
            <a:noFill/>
          </a:ln>
          <a:effectLst/>
        </c:spPr>
        <c:marker>
          <c:symbol val="none"/>
        </c:marker>
      </c:pivotFmt>
      <c:pivotFmt>
        <c:idx val="6"/>
        <c:spPr>
          <a:noFill/>
          <a:ln w="15875">
            <a:solidFill>
              <a:schemeClr val="bg1">
                <a:lumMod val="50000"/>
              </a:schemeClr>
            </a:solidFill>
          </a:ln>
          <a:effectLst/>
        </c:spPr>
        <c:marker>
          <c:symbol val="none"/>
        </c:marker>
      </c:pivotFmt>
      <c:pivotFmt>
        <c:idx val="7"/>
        <c:spPr>
          <a:solidFill>
            <a:schemeClr val="accent3"/>
          </a:solidFill>
          <a:ln>
            <a:noFill/>
          </a:ln>
          <a:effectLst/>
        </c:spPr>
        <c:marker>
          <c:symbol val="none"/>
        </c:marker>
      </c:pivotFmt>
      <c:pivotFmt>
        <c:idx val="8"/>
        <c:spPr>
          <a:solidFill>
            <a:schemeClr val="accent3"/>
          </a:solidFill>
          <a:ln>
            <a:noFill/>
          </a:ln>
          <a:effectLst/>
        </c:spPr>
        <c:marker>
          <c:symbol val="none"/>
        </c:marker>
      </c:pivotFmt>
      <c:pivotFmt>
        <c:idx val="9"/>
        <c:spPr>
          <a:noFill/>
          <a:ln w="19050">
            <a:solidFill>
              <a:schemeClr val="bg1">
                <a:lumMod val="50000"/>
              </a:schemeClr>
            </a:solidFill>
          </a:ln>
          <a:effectLst/>
        </c:spPr>
        <c:marker>
          <c:symbol val="none"/>
        </c:marker>
      </c:pivotFmt>
      <c:pivotFmt>
        <c:idx val="10"/>
        <c:spPr>
          <a:solidFill>
            <a:schemeClr val="accent3"/>
          </a:solidFill>
          <a:ln>
            <a:noFill/>
          </a:ln>
          <a:effectLst/>
        </c:spPr>
        <c:marker>
          <c:symbol val="none"/>
        </c:marker>
      </c:pivotFmt>
      <c:pivotFmt>
        <c:idx val="11"/>
        <c:spPr>
          <a:solidFill>
            <a:schemeClr val="accent3"/>
          </a:solidFill>
          <a:ln>
            <a:noFill/>
          </a:ln>
          <a:effectLst/>
        </c:spPr>
        <c:marker>
          <c:symbol val="none"/>
        </c:marker>
      </c:pivotFmt>
    </c:pivotFmts>
    <c:plotArea>
      <c:layout>
        <c:manualLayout>
          <c:layoutTarget val="inner"/>
          <c:xMode val="edge"/>
          <c:yMode val="edge"/>
          <c:x val="7.6782523569913302E-2"/>
          <c:y val="0.1223272417153996"/>
          <c:w val="0.90482286626357322"/>
          <c:h val="0.75421125730994154"/>
        </c:manualLayout>
      </c:layout>
      <c:barChart>
        <c:barDir val="col"/>
        <c:grouping val="clustered"/>
        <c:varyColors val="0"/>
        <c:ser>
          <c:idx val="0"/>
          <c:order val="0"/>
          <c:tx>
            <c:strRef>
              <c:f>ANALYSIS!$I$11</c:f>
              <c:strCache>
                <c:ptCount val="1"/>
                <c:pt idx="0">
                  <c:v>Sum of Actual</c:v>
                </c:pt>
              </c:strCache>
            </c:strRef>
          </c:tx>
          <c:spPr>
            <a:solidFill>
              <a:schemeClr val="accent3">
                <a:shade val="76000"/>
              </a:schemeClr>
            </a:solidFill>
            <a:ln>
              <a:noFill/>
            </a:ln>
            <a:effectLst/>
          </c:spPr>
          <c:invertIfNegative val="0"/>
          <c:cat>
            <c:multiLvlStrRef>
              <c:f>ANALYSIS!$H$12:$H$27</c:f>
              <c:multiLvlStrCache>
                <c:ptCount val="14"/>
                <c:lvl>
                  <c:pt idx="0">
                    <c:v>11</c:v>
                  </c:pt>
                  <c:pt idx="1">
                    <c:v>12</c:v>
                  </c:pt>
                  <c:pt idx="2">
                    <c:v>1</c:v>
                  </c:pt>
                  <c:pt idx="3">
                    <c:v>2</c:v>
                  </c:pt>
                  <c:pt idx="4">
                    <c:v>3</c:v>
                  </c:pt>
                  <c:pt idx="5">
                    <c:v>4</c:v>
                  </c:pt>
                  <c:pt idx="6">
                    <c:v>5</c:v>
                  </c:pt>
                  <c:pt idx="7">
                    <c:v>6</c:v>
                  </c:pt>
                  <c:pt idx="8">
                    <c:v>7</c:v>
                  </c:pt>
                  <c:pt idx="9">
                    <c:v>8</c:v>
                  </c:pt>
                  <c:pt idx="10">
                    <c:v>9</c:v>
                  </c:pt>
                  <c:pt idx="11">
                    <c:v>10</c:v>
                  </c:pt>
                  <c:pt idx="12">
                    <c:v>11</c:v>
                  </c:pt>
                  <c:pt idx="13">
                    <c:v>12</c:v>
                  </c:pt>
                </c:lvl>
                <c:lvl>
                  <c:pt idx="0">
                    <c:v>2025</c:v>
                  </c:pt>
                  <c:pt idx="2">
                    <c:v>2026</c:v>
                  </c:pt>
                </c:lvl>
              </c:multiLvlStrCache>
            </c:multiLvlStrRef>
          </c:cat>
          <c:val>
            <c:numRef>
              <c:f>ANALYSIS!$I$12:$I$27</c:f>
              <c:numCache>
                <c:formatCode>"₹"#,##0_);\("₹"#,##0\)</c:formatCode>
                <c:ptCount val="14"/>
                <c:pt idx="0">
                  <c:v>-92223.86</c:v>
                </c:pt>
                <c:pt idx="1">
                  <c:v>-97558.82</c:v>
                </c:pt>
                <c:pt idx="2">
                  <c:v>-92965</c:v>
                </c:pt>
                <c:pt idx="3">
                  <c:v>-93228.03</c:v>
                </c:pt>
                <c:pt idx="4">
                  <c:v>-75277.62</c:v>
                </c:pt>
                <c:pt idx="5">
                  <c:v>-127111.63</c:v>
                </c:pt>
                <c:pt idx="6">
                  <c:v>-94638.66</c:v>
                </c:pt>
                <c:pt idx="7">
                  <c:v>-592</c:v>
                </c:pt>
              </c:numCache>
            </c:numRef>
          </c:val>
          <c:extLst>
            <c:ext xmlns:c16="http://schemas.microsoft.com/office/drawing/2014/chart" uri="{C3380CC4-5D6E-409C-BE32-E72D297353CC}">
              <c16:uniqueId val="{00000000-0F1D-415C-A69F-ED76B8D8B7AF}"/>
            </c:ext>
          </c:extLst>
        </c:ser>
        <c:ser>
          <c:idx val="1"/>
          <c:order val="1"/>
          <c:tx>
            <c:strRef>
              <c:f>ANALYSIS!$J$11</c:f>
              <c:strCache>
                <c:ptCount val="1"/>
                <c:pt idx="0">
                  <c:v>Sum of Budget</c:v>
                </c:pt>
              </c:strCache>
            </c:strRef>
          </c:tx>
          <c:spPr>
            <a:solidFill>
              <a:schemeClr val="accent3">
                <a:tint val="77000"/>
              </a:schemeClr>
            </a:solidFill>
            <a:ln>
              <a:noFill/>
            </a:ln>
            <a:effectLst/>
          </c:spPr>
          <c:invertIfNegative val="0"/>
          <c:cat>
            <c:multiLvlStrRef>
              <c:f>ANALYSIS!$H$12:$H$27</c:f>
              <c:multiLvlStrCache>
                <c:ptCount val="14"/>
                <c:lvl>
                  <c:pt idx="0">
                    <c:v>11</c:v>
                  </c:pt>
                  <c:pt idx="1">
                    <c:v>12</c:v>
                  </c:pt>
                  <c:pt idx="2">
                    <c:v>1</c:v>
                  </c:pt>
                  <c:pt idx="3">
                    <c:v>2</c:v>
                  </c:pt>
                  <c:pt idx="4">
                    <c:v>3</c:v>
                  </c:pt>
                  <c:pt idx="5">
                    <c:v>4</c:v>
                  </c:pt>
                  <c:pt idx="6">
                    <c:v>5</c:v>
                  </c:pt>
                  <c:pt idx="7">
                    <c:v>6</c:v>
                  </c:pt>
                  <c:pt idx="8">
                    <c:v>7</c:v>
                  </c:pt>
                  <c:pt idx="9">
                    <c:v>8</c:v>
                  </c:pt>
                  <c:pt idx="10">
                    <c:v>9</c:v>
                  </c:pt>
                  <c:pt idx="11">
                    <c:v>10</c:v>
                  </c:pt>
                  <c:pt idx="12">
                    <c:v>11</c:v>
                  </c:pt>
                  <c:pt idx="13">
                    <c:v>12</c:v>
                  </c:pt>
                </c:lvl>
                <c:lvl>
                  <c:pt idx="0">
                    <c:v>2025</c:v>
                  </c:pt>
                  <c:pt idx="2">
                    <c:v>2026</c:v>
                  </c:pt>
                </c:lvl>
              </c:multiLvlStrCache>
            </c:multiLvlStrRef>
          </c:cat>
          <c:val>
            <c:numRef>
              <c:f>ANALYSIS!$J$12:$J$27</c:f>
              <c:numCache>
                <c:formatCode>"₹"#,##0_);\("₹"#,##0\)</c:formatCode>
                <c:ptCount val="14"/>
                <c:pt idx="0">
                  <c:v>-81618</c:v>
                </c:pt>
                <c:pt idx="1">
                  <c:v>-97252</c:v>
                </c:pt>
                <c:pt idx="2">
                  <c:v>-106628</c:v>
                </c:pt>
                <c:pt idx="3">
                  <c:v>-90578</c:v>
                </c:pt>
                <c:pt idx="4">
                  <c:v>-51880</c:v>
                </c:pt>
                <c:pt idx="5">
                  <c:v>-56924</c:v>
                </c:pt>
                <c:pt idx="6">
                  <c:v>-60270</c:v>
                </c:pt>
                <c:pt idx="7">
                  <c:v>-19820</c:v>
                </c:pt>
                <c:pt idx="8">
                  <c:v>-9621</c:v>
                </c:pt>
                <c:pt idx="9">
                  <c:v>-9621</c:v>
                </c:pt>
                <c:pt idx="10">
                  <c:v>-9621</c:v>
                </c:pt>
                <c:pt idx="11">
                  <c:v>-9621</c:v>
                </c:pt>
                <c:pt idx="12">
                  <c:v>-9621</c:v>
                </c:pt>
                <c:pt idx="13">
                  <c:v>-9621</c:v>
                </c:pt>
              </c:numCache>
            </c:numRef>
          </c:val>
          <c:extLst>
            <c:ext xmlns:c16="http://schemas.microsoft.com/office/drawing/2014/chart" uri="{C3380CC4-5D6E-409C-BE32-E72D297353CC}">
              <c16:uniqueId val="{00000001-0F1D-415C-A69F-ED76B8D8B7AF}"/>
            </c:ext>
          </c:extLst>
        </c:ser>
        <c:dLbls>
          <c:showLegendKey val="0"/>
          <c:showVal val="0"/>
          <c:showCatName val="0"/>
          <c:showSerName val="0"/>
          <c:showPercent val="0"/>
          <c:showBubbleSize val="0"/>
        </c:dLbls>
        <c:gapWidth val="50"/>
        <c:overlap val="100"/>
        <c:axId val="1906660655"/>
        <c:axId val="1906673135"/>
      </c:barChart>
      <c:catAx>
        <c:axId val="1906660655"/>
        <c:scaling>
          <c:orientation val="minMax"/>
        </c:scaling>
        <c:delete val="0"/>
        <c:axPos val="t"/>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673135"/>
        <c:crosses val="autoZero"/>
        <c:auto val="1"/>
        <c:lblAlgn val="ctr"/>
        <c:lblOffset val="100"/>
        <c:noMultiLvlLbl val="0"/>
      </c:catAx>
      <c:valAx>
        <c:axId val="1906673135"/>
        <c:scaling>
          <c:orientation val="maxMin"/>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660655"/>
        <c:crosses val="autoZero"/>
        <c:crossBetween val="between"/>
      </c:valAx>
      <c:spPr>
        <a:noFill/>
        <a:ln>
          <a:noFill/>
        </a:ln>
        <a:effectLst/>
      </c:spPr>
    </c:plotArea>
    <c:legend>
      <c:legendPos val="r"/>
      <c:layout>
        <c:manualLayout>
          <c:xMode val="edge"/>
          <c:yMode val="edge"/>
          <c:x val="0.68891189308520062"/>
          <c:y val="2.9297301875245881E-3"/>
          <c:w val="0.13239190589279792"/>
          <c:h val="0.111916666666666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[Expense Tracker_v4.xlsx]ANALYSIS!IncActBud</c:name>
    <c:fmtId val="1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INCOME BY MONTH</a:t>
            </a:r>
          </a:p>
        </c:rich>
      </c:tx>
      <c:layout>
        <c:manualLayout>
          <c:xMode val="edge"/>
          <c:yMode val="edge"/>
          <c:x val="1.3885911202030844E-2"/>
          <c:y val="1.957493717524100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noFill/>
          <a:ln w="19050">
            <a:solidFill>
              <a:schemeClr val="accent6">
                <a:lumMod val="50000"/>
              </a:schemeClr>
            </a:solidFill>
          </a:ln>
          <a:effectLst/>
        </c:spPr>
        <c:marker>
          <c:symbol val="none"/>
        </c:marker>
      </c:pivotFmt>
      <c:pivotFmt>
        <c:idx val="7"/>
        <c:spPr>
          <a:solidFill>
            <a:schemeClr val="accent6"/>
          </a:solidFill>
          <a:ln>
            <a:noFill/>
          </a:ln>
          <a:effectLst/>
        </c:spPr>
        <c:marker>
          <c:symbol val="none"/>
        </c:marker>
      </c:pivotFmt>
      <c:pivotFmt>
        <c:idx val="8"/>
        <c:spPr>
          <a:solidFill>
            <a:schemeClr val="accent6"/>
          </a:solidFill>
          <a:ln>
            <a:noFill/>
          </a:ln>
          <a:effectLst/>
        </c:spPr>
        <c:marker>
          <c:symbol val="none"/>
        </c:marker>
      </c:pivotFmt>
      <c:pivotFmt>
        <c:idx val="9"/>
        <c:spPr>
          <a:noFill/>
          <a:ln w="19050">
            <a:solidFill>
              <a:schemeClr val="accent6">
                <a:lumMod val="50000"/>
              </a:schemeClr>
            </a:solidFill>
          </a:ln>
          <a:effectLst/>
        </c:spPr>
        <c:marker>
          <c:symbol val="none"/>
        </c:marker>
      </c:pivotFmt>
    </c:pivotFmts>
    <c:plotArea>
      <c:layout>
        <c:manualLayout>
          <c:layoutTarget val="inner"/>
          <c:xMode val="edge"/>
          <c:yMode val="edge"/>
          <c:x val="7.6844707589042355E-2"/>
          <c:y val="0.12677550505050506"/>
          <c:w val="0.90128856251554235"/>
          <c:h val="0.74527348484848488"/>
        </c:manualLayout>
      </c:layout>
      <c:barChart>
        <c:barDir val="col"/>
        <c:grouping val="clustered"/>
        <c:varyColors val="0"/>
        <c:ser>
          <c:idx val="0"/>
          <c:order val="0"/>
          <c:tx>
            <c:strRef>
              <c:f>ANALYSIS!$O$11</c:f>
              <c:strCache>
                <c:ptCount val="1"/>
                <c:pt idx="0">
                  <c:v>Sum of Actual</c:v>
                </c:pt>
              </c:strCache>
            </c:strRef>
          </c:tx>
          <c:spPr>
            <a:solidFill>
              <a:schemeClr val="accent6">
                <a:tint val="77000"/>
              </a:schemeClr>
            </a:solidFill>
            <a:ln>
              <a:noFill/>
            </a:ln>
            <a:effectLst/>
          </c:spPr>
          <c:invertIfNegative val="0"/>
          <c:cat>
            <c:multiLvlStrRef>
              <c:f>ANALYSIS!$N$12:$N$14</c:f>
              <c:multiLvlStrCache>
                <c:ptCount val="2"/>
                <c:lvl>
                  <c:pt idx="0">
                    <c:v>11</c:v>
                  </c:pt>
                  <c:pt idx="1">
                    <c:v>12</c:v>
                  </c:pt>
                </c:lvl>
                <c:lvl>
                  <c:pt idx="0">
                    <c:v>2025</c:v>
                  </c:pt>
                </c:lvl>
              </c:multiLvlStrCache>
            </c:multiLvlStrRef>
          </c:cat>
          <c:val>
            <c:numRef>
              <c:f>ANALYSIS!$O$12:$O$14</c:f>
              <c:numCache>
                <c:formatCode>"₹"#,##0_);\("₹"#,##0\)</c:formatCode>
                <c:ptCount val="2"/>
                <c:pt idx="0">
                  <c:v>146200</c:v>
                </c:pt>
                <c:pt idx="1">
                  <c:v>114114</c:v>
                </c:pt>
              </c:numCache>
            </c:numRef>
          </c:val>
          <c:extLst>
            <c:ext xmlns:c16="http://schemas.microsoft.com/office/drawing/2014/chart" uri="{C3380CC4-5D6E-409C-BE32-E72D297353CC}">
              <c16:uniqueId val="{00000000-C92E-4E3C-BE4B-52B1BA04ECDC}"/>
            </c:ext>
          </c:extLst>
        </c:ser>
        <c:ser>
          <c:idx val="1"/>
          <c:order val="1"/>
          <c:tx>
            <c:strRef>
              <c:f>ANALYSIS!$P$11</c:f>
              <c:strCache>
                <c:ptCount val="1"/>
                <c:pt idx="0">
                  <c:v>Sum of Budget</c:v>
                </c:pt>
              </c:strCache>
            </c:strRef>
          </c:tx>
          <c:spPr>
            <a:noFill/>
            <a:ln w="19050">
              <a:solidFill>
                <a:schemeClr val="accent6">
                  <a:lumMod val="50000"/>
                </a:schemeClr>
              </a:solidFill>
            </a:ln>
            <a:effectLst/>
          </c:spPr>
          <c:invertIfNegative val="0"/>
          <c:cat>
            <c:multiLvlStrRef>
              <c:f>ANALYSIS!$N$12:$N$14</c:f>
              <c:multiLvlStrCache>
                <c:ptCount val="2"/>
                <c:lvl>
                  <c:pt idx="0">
                    <c:v>11</c:v>
                  </c:pt>
                  <c:pt idx="1">
                    <c:v>12</c:v>
                  </c:pt>
                </c:lvl>
                <c:lvl>
                  <c:pt idx="0">
                    <c:v>2025</c:v>
                  </c:pt>
                </c:lvl>
              </c:multiLvlStrCache>
            </c:multiLvlStrRef>
          </c:cat>
          <c:val>
            <c:numRef>
              <c:f>ANALYSIS!$P$12:$P$14</c:f>
              <c:numCache>
                <c:formatCode>"₹"#,##0_);\("₹"#,##0\)</c:formatCode>
                <c:ptCount val="2"/>
                <c:pt idx="0">
                  <c:v>141900</c:v>
                </c:pt>
                <c:pt idx="1">
                  <c:v>91900</c:v>
                </c:pt>
              </c:numCache>
            </c:numRef>
          </c:val>
          <c:extLst>
            <c:ext xmlns:c16="http://schemas.microsoft.com/office/drawing/2014/chart" uri="{C3380CC4-5D6E-409C-BE32-E72D297353CC}">
              <c16:uniqueId val="{00000001-C92E-4E3C-BE4B-52B1BA04ECDC}"/>
            </c:ext>
          </c:extLst>
        </c:ser>
        <c:dLbls>
          <c:showLegendKey val="0"/>
          <c:showVal val="0"/>
          <c:showCatName val="0"/>
          <c:showSerName val="0"/>
          <c:showPercent val="0"/>
          <c:showBubbleSize val="0"/>
        </c:dLbls>
        <c:gapWidth val="50"/>
        <c:overlap val="100"/>
        <c:axId val="1897427791"/>
        <c:axId val="1897409487"/>
      </c:barChart>
      <c:catAx>
        <c:axId val="189742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409487"/>
        <c:crosses val="autoZero"/>
        <c:auto val="1"/>
        <c:lblAlgn val="ctr"/>
        <c:lblOffset val="100"/>
        <c:noMultiLvlLbl val="0"/>
      </c:catAx>
      <c:valAx>
        <c:axId val="18974094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427791"/>
        <c:crosses val="autoZero"/>
        <c:crossBetween val="between"/>
      </c:valAx>
      <c:spPr>
        <a:noFill/>
        <a:ln>
          <a:noFill/>
        </a:ln>
        <a:effectLst/>
      </c:spPr>
    </c:plotArea>
    <c:legend>
      <c:legendPos val="r"/>
      <c:layout>
        <c:manualLayout>
          <c:xMode val="edge"/>
          <c:yMode val="edge"/>
          <c:x val="0.71464597670330177"/>
          <c:y val="4.3228243150929858E-3"/>
          <c:w val="0.13249889170475204"/>
          <c:h val="0.1159863636363636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[Expense Tracker_v4.xlsx]ANALYSIS!Income</c:name>
    <c:fmtId val="36"/>
  </c:pivotSource>
  <c:chart>
    <c:autoTitleDeleted val="1"/>
    <c:pivotFmts>
      <c:pivotFmt>
        <c:idx val="0"/>
        <c:spPr>
          <a:solidFill>
            <a:schemeClr val="accent6"/>
          </a:solidFill>
          <a:ln w="19050">
            <a:solidFill>
              <a:schemeClr val="lt1"/>
            </a:solidFill>
          </a:ln>
          <a:effectLst/>
        </c:spPr>
        <c:marker>
          <c:symbol val="none"/>
        </c:marker>
      </c:pivotFmt>
      <c:pivotFmt>
        <c:idx val="1"/>
        <c:spPr>
          <a:solidFill>
            <a:schemeClr val="accent6"/>
          </a:solidFill>
          <a:ln w="19050">
            <a:solidFill>
              <a:schemeClr val="lt1"/>
            </a:solidFill>
          </a:ln>
          <a:effectLst/>
        </c:spPr>
        <c:marker>
          <c:symbol val="none"/>
        </c:marke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
        <c:idx val="8"/>
        <c:spPr>
          <a:solidFill>
            <a:schemeClr val="accent6">
              <a:shade val="76000"/>
            </a:schemeClr>
          </a:solidFill>
          <a:ln w="19050">
            <a:solidFill>
              <a:schemeClr val="lt1"/>
            </a:solidFill>
          </a:ln>
          <a:effectLst/>
        </c:spPr>
        <c:dLbl>
          <c:idx val="0"/>
          <c:layout>
            <c:manualLayout>
              <c:x val="-0.1132983416102928"/>
              <c:y val="-0.11824322227367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648939096897209"/>
                  <c:h val="9.8417775339119079E-2"/>
                </c:manualLayout>
              </c15:layout>
            </c:ext>
          </c:extLst>
        </c:dLbl>
      </c:pivotFmt>
      <c:pivotFmt>
        <c:idx val="9"/>
        <c:spPr>
          <a:solidFill>
            <a:schemeClr val="accent6">
              <a:tint val="77000"/>
            </a:schemeClr>
          </a:solidFill>
          <a:ln w="19050">
            <a:solidFill>
              <a:schemeClr val="lt1"/>
            </a:solidFill>
          </a:ln>
          <a:effectLst/>
        </c:spPr>
        <c:dLbl>
          <c:idx val="0"/>
          <c:layout>
            <c:manualLayout>
              <c:x val="0.31126818232792319"/>
              <c:y val="9.0653137076481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234909005687101"/>
                  <c:h val="9.8417775339119079E-2"/>
                </c:manualLayout>
              </c15:layout>
            </c:ext>
          </c:extLst>
        </c:dLbl>
      </c:pivotFmt>
      <c:pivotFmt>
        <c:idx val="10"/>
        <c:spPr>
          <a:solidFill>
            <a:schemeClr val="accent6">
              <a:shade val="76000"/>
            </a:schemeClr>
          </a:solidFill>
          <a:ln w="19050">
            <a:solidFill>
              <a:schemeClr val="lt1"/>
            </a:solidFill>
          </a:ln>
          <a:effectLst/>
        </c:spPr>
      </c:pivotFmt>
      <c:pivotFmt>
        <c:idx val="11"/>
        <c:spPr>
          <a:solidFill>
            <a:schemeClr val="accent6">
              <a:shade val="65000"/>
            </a:schemeClr>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hade val="76000"/>
            </a:schemeClr>
          </a:solidFill>
          <a:ln w="19050">
            <a:solidFill>
              <a:schemeClr val="lt1"/>
            </a:solidFill>
          </a:ln>
          <a:effectLst/>
        </c:spPr>
      </c:pivotFmt>
      <c:pivotFmt>
        <c:idx val="14"/>
        <c:spPr>
          <a:solidFill>
            <a:schemeClr val="accent6">
              <a:shade val="76000"/>
            </a:schemeClr>
          </a:solidFill>
          <a:ln w="19050">
            <a:solidFill>
              <a:schemeClr val="lt1"/>
            </a:solidFill>
          </a:ln>
          <a:effectLst/>
        </c:spPr>
      </c:pivotFmt>
    </c:pivotFmts>
    <c:plotArea>
      <c:layout/>
      <c:doughnutChart>
        <c:varyColors val="1"/>
        <c:ser>
          <c:idx val="0"/>
          <c:order val="0"/>
          <c:tx>
            <c:strRef>
              <c:f>ANALYSIS!$S$11</c:f>
              <c:strCache>
                <c:ptCount val="1"/>
                <c:pt idx="0">
                  <c:v>Total</c:v>
                </c:pt>
              </c:strCache>
            </c:strRef>
          </c:tx>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03BC-4242-A381-70B4ACEB80B2}"/>
              </c:ext>
            </c:extLst>
          </c:dPt>
          <c:dPt>
            <c:idx val="1"/>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3-03BC-4242-A381-70B4ACEB80B2}"/>
              </c:ext>
            </c:extLst>
          </c:dPt>
          <c:dPt>
            <c:idx val="2"/>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5-548C-4EAE-80A8-A67B2EA267B9}"/>
              </c:ext>
            </c:extLst>
          </c:dPt>
          <c:dPt>
            <c:idx val="3"/>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7-C210-4789-92FE-66BC471CEDC6}"/>
              </c:ext>
            </c:extLst>
          </c:dPt>
          <c:dPt>
            <c:idx val="4"/>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9-C210-4789-92FE-66BC471CED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ANALYSIS!$R$12:$R$14</c:f>
              <c:strCache>
                <c:ptCount val="3"/>
                <c:pt idx="0">
                  <c:v>Salary_G</c:v>
                </c:pt>
                <c:pt idx="1">
                  <c:v>Salary_R</c:v>
                </c:pt>
                <c:pt idx="2">
                  <c:v>Lent Repayment</c:v>
                </c:pt>
              </c:strCache>
            </c:strRef>
          </c:cat>
          <c:val>
            <c:numRef>
              <c:f>ANALYSIS!$S$12:$S$14</c:f>
              <c:numCache>
                <c:formatCode>"₹"#,##0_);\("₹"#,##0\)</c:formatCode>
                <c:ptCount val="3"/>
                <c:pt idx="0">
                  <c:v>57640</c:v>
                </c:pt>
                <c:pt idx="1">
                  <c:v>48500</c:v>
                </c:pt>
                <c:pt idx="2">
                  <c:v>3000</c:v>
                </c:pt>
              </c:numCache>
            </c:numRef>
          </c:val>
          <c:extLst>
            <c:ext xmlns:c16="http://schemas.microsoft.com/office/drawing/2014/chart" uri="{C3380CC4-5D6E-409C-BE32-E72D297353CC}">
              <c16:uniqueId val="{00000007-79E2-4BA2-9BC9-C9D6EE5CC99F}"/>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7.png"/><Relationship Id="rId5" Type="http://schemas.openxmlformats.org/officeDocument/2006/relationships/chart" Target="../charts/chart4.xml"/><Relationship Id="rId4" Type="http://schemas.openxmlformats.org/officeDocument/2006/relationships/chart" Target="../charts/chart3.xml"/></Relationships>
</file>

<file path=xl/drawings/_rels/drawing8.xml.rels><?xml version="1.0" encoding="UTF-8" standalone="yes"?>
<Relationships xmlns="http://schemas.openxmlformats.org/package/2006/relationships"><Relationship Id="rId2" Type="http://schemas.microsoft.com/office/2007/relationships/hdphoto" Target="../media/hdphoto2.wdp"/><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1</xdr:col>
      <xdr:colOff>865749</xdr:colOff>
      <xdr:row>2</xdr:row>
      <xdr:rowOff>29894</xdr:rowOff>
    </xdr:from>
    <xdr:to>
      <xdr:col>4</xdr:col>
      <xdr:colOff>507609</xdr:colOff>
      <xdr:row>5</xdr:row>
      <xdr:rowOff>52754</xdr:rowOff>
    </xdr:to>
    <xdr:sp macro="" textlink="">
      <xdr:nvSpPr>
        <xdr:cNvPr id="2" name="TextBox 1"/>
        <xdr:cNvSpPr txBox="1"/>
      </xdr:nvSpPr>
      <xdr:spPr>
        <a:xfrm>
          <a:off x="1475349" y="393309"/>
          <a:ext cx="3932506" cy="567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BUDGET</a:t>
          </a:r>
          <a:r>
            <a:rPr lang="en-IN" sz="2800" b="1" baseline="0">
              <a:solidFill>
                <a:schemeClr val="bg1"/>
              </a:solidFill>
            </a:rPr>
            <a:t> CATEGORIES</a:t>
          </a:r>
          <a:endParaRPr lang="en-IN" sz="2800" b="1">
            <a:solidFill>
              <a:schemeClr val="bg1"/>
            </a:solidFill>
          </a:endParaRPr>
        </a:p>
      </xdr:txBody>
    </xdr:sp>
    <xdr:clientData/>
  </xdr:twoCellAnchor>
  <xdr:twoCellAnchor editAs="oneCell">
    <xdr:from>
      <xdr:col>1</xdr:col>
      <xdr:colOff>60960</xdr:colOff>
      <xdr:row>0</xdr:row>
      <xdr:rowOff>114300</xdr:rowOff>
    </xdr:from>
    <xdr:to>
      <xdr:col>1</xdr:col>
      <xdr:colOff>883920</xdr:colOff>
      <xdr:row>5</xdr:row>
      <xdr:rowOff>22860</xdr:rowOff>
    </xdr:to>
    <xdr:pic>
      <xdr:nvPicPr>
        <xdr:cNvPr id="1068" name="Picture 3" descr="Report Clipart Narrative Report Report Narrative Report Transparent ..."/>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114300"/>
          <a:ext cx="822960" cy="822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109155</xdr:colOff>
      <xdr:row>0</xdr:row>
      <xdr:rowOff>78180</xdr:rowOff>
    </xdr:from>
    <xdr:to>
      <xdr:col>2</xdr:col>
      <xdr:colOff>263387</xdr:colOff>
      <xdr:row>4</xdr:row>
      <xdr:rowOff>149822</xdr:rowOff>
    </xdr:to>
    <xdr:pic>
      <xdr:nvPicPr>
        <xdr:cNvPr id="2" name="Picture 1" descr="budget png 20 free Cliparts | Download images on Clipground 2023"/>
        <xdr:cNvPicPr>
          <a:picLocks noChangeAspect="1" noChangeArrowheads="1"/>
        </xdr:cNvPicPr>
      </xdr:nvPicPr>
      <xdr:blipFill>
        <a:blip xmlns:r="http://schemas.openxmlformats.org/officeDocument/2006/relationships" r:embed="rId1" cstate="print">
          <a:duotone>
            <a:prstClr val="black"/>
            <a:schemeClr val="accent3">
              <a:tint val="45000"/>
              <a:satMod val="400000"/>
            </a:schemeClr>
          </a:duotone>
          <a:extLst>
            <a:ext uri="{28A0092B-C50C-407E-A947-70E740481C1C}">
              <a14:useLocalDpi xmlns:a14="http://schemas.microsoft.com/office/drawing/2010/main" val="0"/>
            </a:ext>
          </a:extLst>
        </a:blip>
        <a:srcRect/>
        <a:stretch>
          <a:fillRect/>
        </a:stretch>
      </xdr:blipFill>
      <xdr:spPr bwMode="auto">
        <a:xfrm>
          <a:off x="718755" y="78180"/>
          <a:ext cx="805246" cy="792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265047</xdr:colOff>
      <xdr:row>2</xdr:row>
      <xdr:rowOff>13855</xdr:rowOff>
    </xdr:from>
    <xdr:to>
      <xdr:col>9</xdr:col>
      <xdr:colOff>538373</xdr:colOff>
      <xdr:row>5</xdr:row>
      <xdr:rowOff>36715</xdr:rowOff>
    </xdr:to>
    <xdr:sp macro="" textlink="">
      <xdr:nvSpPr>
        <xdr:cNvPr id="3" name="TextBox 2"/>
        <xdr:cNvSpPr txBox="1"/>
      </xdr:nvSpPr>
      <xdr:spPr>
        <a:xfrm>
          <a:off x="969069" y="394855"/>
          <a:ext cx="6062869"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BUDGETED</a:t>
          </a:r>
          <a:r>
            <a:rPr lang="en-IN" sz="2800" b="1" baseline="0">
              <a:solidFill>
                <a:schemeClr val="bg1"/>
              </a:solidFill>
            </a:rPr>
            <a:t> INCOME &amp; EXPENSE</a:t>
          </a:r>
          <a:endParaRPr lang="en-IN" sz="2800" b="1">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114300</xdr:colOff>
      <xdr:row>1</xdr:row>
      <xdr:rowOff>160020</xdr:rowOff>
    </xdr:from>
    <xdr:to>
      <xdr:col>2</xdr:col>
      <xdr:colOff>205423</xdr:colOff>
      <xdr:row>4</xdr:row>
      <xdr:rowOff>160020</xdr:rowOff>
    </xdr:to>
    <xdr:pic>
      <xdr:nvPicPr>
        <xdr:cNvPr id="3111" name="Picture 1" descr="Clipart Panda - Free Clipart Image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0540" y="342900"/>
          <a:ext cx="693420" cy="548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214746</xdr:colOff>
      <xdr:row>2</xdr:row>
      <xdr:rowOff>34636</xdr:rowOff>
    </xdr:from>
    <xdr:to>
      <xdr:col>4</xdr:col>
      <xdr:colOff>1021080</xdr:colOff>
      <xdr:row>5</xdr:row>
      <xdr:rowOff>57496</xdr:rowOff>
    </xdr:to>
    <xdr:sp macro="" textlink="">
      <xdr:nvSpPr>
        <xdr:cNvPr id="3" name="TextBox 2"/>
        <xdr:cNvSpPr txBox="1"/>
      </xdr:nvSpPr>
      <xdr:spPr>
        <a:xfrm>
          <a:off x="1205346" y="400396"/>
          <a:ext cx="2353194"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STATEMENT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529071</xdr:colOff>
      <xdr:row>1</xdr:row>
      <xdr:rowOff>177511</xdr:rowOff>
    </xdr:from>
    <xdr:to>
      <xdr:col>9</xdr:col>
      <xdr:colOff>619125</xdr:colOff>
      <xdr:row>5</xdr:row>
      <xdr:rowOff>9871</xdr:rowOff>
    </xdr:to>
    <xdr:sp macro="" textlink="">
      <xdr:nvSpPr>
        <xdr:cNvPr id="3" name="TextBox 2"/>
        <xdr:cNvSpPr txBox="1"/>
      </xdr:nvSpPr>
      <xdr:spPr>
        <a:xfrm>
          <a:off x="957696" y="368011"/>
          <a:ext cx="9853179"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LENDS &amp; BORROWS</a:t>
          </a:r>
        </a:p>
      </xdr:txBody>
    </xdr:sp>
    <xdr:clientData/>
  </xdr:twoCellAnchor>
  <xdr:twoCellAnchor editAs="oneCell">
    <xdr:from>
      <xdr:col>1</xdr:col>
      <xdr:colOff>142875</xdr:colOff>
      <xdr:row>1</xdr:row>
      <xdr:rowOff>168275</xdr:rowOff>
    </xdr:from>
    <xdr:to>
      <xdr:col>2</xdr:col>
      <xdr:colOff>517931</xdr:colOff>
      <xdr:row>5</xdr:row>
      <xdr:rowOff>6350</xdr:rowOff>
    </xdr:to>
    <xdr:pic>
      <xdr:nvPicPr>
        <xdr:cNvPr id="5" name="Picture 4" descr="C:\Users\GOW\Downloads\360_F_183776586_ETr3Lg7pmP2bw0dF2vyNlBaf93eM5TaA-removebg-preview.png"/>
        <xdr:cNvPicPr>
          <a:picLocks noChangeAspect="1" noChangeArrowheads="1"/>
        </xdr:cNvPicPr>
      </xdr:nvPicPr>
      <xdr:blipFill rotWithShape="1">
        <a:blip xmlns:r="http://schemas.openxmlformats.org/officeDocument/2006/relationships" r:embed="rId1" cstate="print">
          <a:duotone>
            <a:prstClr val="black"/>
            <a:srgbClr val="D9C3A5">
              <a:tint val="50000"/>
              <a:satMod val="180000"/>
            </a:srgbClr>
          </a:duotone>
          <a:extLst>
            <a:ext uri="{28A0092B-C50C-407E-A947-70E740481C1C}">
              <a14:useLocalDpi xmlns:a14="http://schemas.microsoft.com/office/drawing/2010/main" val="0"/>
            </a:ext>
          </a:extLst>
        </a:blip>
        <a:srcRect l="7500" t="8056" r="6944" b="20278"/>
        <a:stretch/>
      </xdr:blipFill>
      <xdr:spPr bwMode="auto">
        <a:xfrm>
          <a:off x="230188" y="358775"/>
          <a:ext cx="719543"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30480</xdr:colOff>
      <xdr:row>9</xdr:row>
      <xdr:rowOff>7620</xdr:rowOff>
    </xdr:from>
    <xdr:to>
      <xdr:col>17</xdr:col>
      <xdr:colOff>30480</xdr:colOff>
      <xdr:row>35</xdr:row>
      <xdr:rowOff>129540</xdr:rowOff>
    </xdr:to>
    <xdr:pic>
      <xdr:nvPicPr>
        <xdr:cNvPr id="9" name="Picture 8" descr="Matyoc Labs - Website - Design - Development - Online Shopping Store ..."/>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70220" y="1653540"/>
          <a:ext cx="4876800" cy="487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214746</xdr:colOff>
      <xdr:row>2</xdr:row>
      <xdr:rowOff>34636</xdr:rowOff>
    </xdr:from>
    <xdr:to>
      <xdr:col>5</xdr:col>
      <xdr:colOff>152400</xdr:colOff>
      <xdr:row>5</xdr:row>
      <xdr:rowOff>57496</xdr:rowOff>
    </xdr:to>
    <xdr:sp macro="" textlink="">
      <xdr:nvSpPr>
        <xdr:cNvPr id="3" name="TextBox 2"/>
        <xdr:cNvSpPr txBox="1"/>
      </xdr:nvSpPr>
      <xdr:spPr>
        <a:xfrm>
          <a:off x="1205346" y="400396"/>
          <a:ext cx="2871354"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QUERY</a:t>
          </a:r>
        </a:p>
      </xdr:txBody>
    </xdr:sp>
    <xdr:clientData/>
  </xdr:twoCellAnchor>
  <xdr:twoCellAnchor editAs="oneCell">
    <xdr:from>
      <xdr:col>1</xdr:col>
      <xdr:colOff>160020</xdr:colOff>
      <xdr:row>1</xdr:row>
      <xdr:rowOff>15240</xdr:rowOff>
    </xdr:from>
    <xdr:to>
      <xdr:col>2</xdr:col>
      <xdr:colOff>224790</xdr:colOff>
      <xdr:row>4</xdr:row>
      <xdr:rowOff>144780</xdr:rowOff>
    </xdr:to>
    <xdr:pic>
      <xdr:nvPicPr>
        <xdr:cNvPr id="7" name="Picture 6" descr="Query - Free files and folders icons"/>
        <xdr:cNvPicPr>
          <a:picLocks noChangeAspect="1" noChangeArrowheads="1"/>
        </xdr:cNvPicPr>
      </xdr:nvPicPr>
      <xdr:blipFill>
        <a:blip xmlns:r="http://schemas.openxmlformats.org/officeDocument/2006/relationships" r:embed="rId1" cstate="print">
          <a:duotone>
            <a:schemeClr val="accent3">
              <a:shade val="45000"/>
              <a:satMod val="135000"/>
            </a:schemeClr>
            <a:prstClr val="white"/>
          </a:duotone>
          <a:extLst>
            <a:ext uri="{BEBA8EAE-BF5A-486C-A8C5-ECC9F3942E4B}">
              <a14:imgProps xmlns:a14="http://schemas.microsoft.com/office/drawing/2010/main">
                <a14:imgLayer r:embed="rId2">
                  <a14:imgEffect>
                    <a14:colorTemperature colorTemp="7200"/>
                  </a14:imgEffect>
                </a14:imgLayer>
              </a14:imgProps>
            </a:ext>
            <a:ext uri="{28A0092B-C50C-407E-A947-70E740481C1C}">
              <a14:useLocalDpi xmlns:a14="http://schemas.microsoft.com/office/drawing/2010/main" val="0"/>
            </a:ext>
          </a:extLst>
        </a:blip>
        <a:srcRect/>
        <a:stretch>
          <a:fillRect/>
        </a:stretch>
      </xdr:blipFill>
      <xdr:spPr bwMode="auto">
        <a:xfrm>
          <a:off x="556260" y="198120"/>
          <a:ext cx="678180" cy="678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261158</xdr:colOff>
      <xdr:row>2</xdr:row>
      <xdr:rowOff>13855</xdr:rowOff>
    </xdr:from>
    <xdr:to>
      <xdr:col>5</xdr:col>
      <xdr:colOff>587828</xdr:colOff>
      <xdr:row>5</xdr:row>
      <xdr:rowOff>36715</xdr:rowOff>
    </xdr:to>
    <xdr:sp macro="" textlink="">
      <xdr:nvSpPr>
        <xdr:cNvPr id="7" name="TextBox 6"/>
        <xdr:cNvSpPr txBox="1"/>
      </xdr:nvSpPr>
      <xdr:spPr>
        <a:xfrm>
          <a:off x="1262644" y="383969"/>
          <a:ext cx="2155470" cy="578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REPORTS</a:t>
          </a:r>
        </a:p>
      </xdr:txBody>
    </xdr:sp>
    <xdr:clientData/>
  </xdr:twoCellAnchor>
  <xdr:twoCellAnchor editAs="oneCell">
    <xdr:from>
      <xdr:col>1</xdr:col>
      <xdr:colOff>45720</xdr:colOff>
      <xdr:row>1</xdr:row>
      <xdr:rowOff>15240</xdr:rowOff>
    </xdr:from>
    <xdr:to>
      <xdr:col>2</xdr:col>
      <xdr:colOff>198120</xdr:colOff>
      <xdr:row>5</xdr:row>
      <xdr:rowOff>45720</xdr:rowOff>
    </xdr:to>
    <xdr:pic>
      <xdr:nvPicPr>
        <xdr:cNvPr id="9" name="Picture 8" descr="Report - free icon"/>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5320" y="198120"/>
          <a:ext cx="762000"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2371</xdr:colOff>
      <xdr:row>16</xdr:row>
      <xdr:rowOff>26545</xdr:rowOff>
    </xdr:from>
    <xdr:to>
      <xdr:col>11</xdr:col>
      <xdr:colOff>386371</xdr:colOff>
      <xdr:row>50</xdr:row>
      <xdr:rowOff>161924</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445941</xdr:colOff>
      <xdr:row>28</xdr:row>
      <xdr:rowOff>131988</xdr:rowOff>
    </xdr:from>
    <xdr:to>
      <xdr:col>23</xdr:col>
      <xdr:colOff>330741</xdr:colOff>
      <xdr:row>50</xdr:row>
      <xdr:rowOff>164731</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433694</xdr:colOff>
      <xdr:row>6</xdr:row>
      <xdr:rowOff>70633</xdr:rowOff>
    </xdr:from>
    <xdr:to>
      <xdr:col>23</xdr:col>
      <xdr:colOff>318494</xdr:colOff>
      <xdr:row>28</xdr:row>
      <xdr:rowOff>85725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360093</xdr:colOff>
      <xdr:row>6</xdr:row>
      <xdr:rowOff>63706</xdr:rowOff>
    </xdr:from>
    <xdr:to>
      <xdr:col>27</xdr:col>
      <xdr:colOff>847725</xdr:colOff>
      <xdr:row>23</xdr:row>
      <xdr:rowOff>139907</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125730</xdr:colOff>
      <xdr:row>6</xdr:row>
      <xdr:rowOff>66674</xdr:rowOff>
    </xdr:from>
    <xdr:to>
      <xdr:col>11</xdr:col>
      <xdr:colOff>400050</xdr:colOff>
      <xdr:row>15</xdr:row>
      <xdr:rowOff>152174</xdr:rowOff>
    </xdr:to>
    <mc:AlternateContent xmlns:mc="http://schemas.openxmlformats.org/markup-compatibility/2006" xmlns:tsle="http://schemas.microsoft.com/office/drawing/2012/timeslicer">
      <mc:Choice Requires="tsle">
        <xdr:graphicFrame macro="">
          <xdr:nvGraphicFramePr>
            <xdr:cNvPr id="2"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7630" y="1209674"/>
              <a:ext cx="6494145" cy="18000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8</xdr:col>
      <xdr:colOff>206830</xdr:colOff>
      <xdr:row>3</xdr:row>
      <xdr:rowOff>97972</xdr:rowOff>
    </xdr:from>
    <xdr:to>
      <xdr:col>11</xdr:col>
      <xdr:colOff>185058</xdr:colOff>
      <xdr:row>5</xdr:row>
      <xdr:rowOff>130628</xdr:rowOff>
    </xdr:to>
    <xdr:sp macro="" textlink="ANALYSIS!F8">
      <xdr:nvSpPr>
        <xdr:cNvPr id="3" name="TextBox 2"/>
        <xdr:cNvSpPr txBox="1"/>
      </xdr:nvSpPr>
      <xdr:spPr>
        <a:xfrm>
          <a:off x="4865916" y="653143"/>
          <a:ext cx="1807028" cy="402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97ACC6-F34B-46A9-92AC-510A755B035C}" type="TxLink">
            <a:rPr lang="en-US" sz="1400" b="0" i="0" u="none" strike="noStrike">
              <a:solidFill>
                <a:srgbClr val="000000"/>
              </a:solidFill>
              <a:latin typeface="Calibri"/>
              <a:cs typeface="Calibri"/>
            </a:rPr>
            <a:pPr algn="ctr"/>
            <a:t>INCOME SURPLUS</a:t>
          </a:fld>
          <a:endParaRPr lang="en-IN" sz="1800"/>
        </a:p>
      </xdr:txBody>
    </xdr:sp>
    <xdr:clientData/>
  </xdr:twoCellAnchor>
  <xdr:twoCellAnchor>
    <xdr:from>
      <xdr:col>8</xdr:col>
      <xdr:colOff>206830</xdr:colOff>
      <xdr:row>2</xdr:row>
      <xdr:rowOff>54429</xdr:rowOff>
    </xdr:from>
    <xdr:to>
      <xdr:col>11</xdr:col>
      <xdr:colOff>185058</xdr:colOff>
      <xdr:row>4</xdr:row>
      <xdr:rowOff>87085</xdr:rowOff>
    </xdr:to>
    <xdr:sp macro="" textlink="ANALYSIS!E8">
      <xdr:nvSpPr>
        <xdr:cNvPr id="12" name="TextBox 11"/>
        <xdr:cNvSpPr txBox="1"/>
      </xdr:nvSpPr>
      <xdr:spPr>
        <a:xfrm>
          <a:off x="4865916" y="424543"/>
          <a:ext cx="1807028" cy="402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2BD860-D945-4866-97FC-0810DB5B6DED}" type="TxLink">
            <a:rPr lang="en-US" sz="1400" b="0" i="0" u="none" strike="noStrike">
              <a:solidFill>
                <a:srgbClr val="000000"/>
              </a:solidFill>
              <a:latin typeface="Calibri"/>
              <a:cs typeface="Calibri"/>
            </a:rPr>
            <a:pPr algn="ctr"/>
            <a:t>₹14,501 </a:t>
          </a:fld>
          <a:endParaRPr lang="en-IN" sz="1800"/>
        </a:p>
      </xdr:txBody>
    </xdr:sp>
    <xdr:clientData/>
  </xdr:twoCellAnchor>
  <xdr:twoCellAnchor>
    <xdr:from>
      <xdr:col>11</xdr:col>
      <xdr:colOff>32656</xdr:colOff>
      <xdr:row>3</xdr:row>
      <xdr:rowOff>97973</xdr:rowOff>
    </xdr:from>
    <xdr:to>
      <xdr:col>14</xdr:col>
      <xdr:colOff>10884</xdr:colOff>
      <xdr:row>5</xdr:row>
      <xdr:rowOff>130629</xdr:rowOff>
    </xdr:to>
    <xdr:sp macro="" textlink="ANALYSIS!F9">
      <xdr:nvSpPr>
        <xdr:cNvPr id="14" name="TextBox 13"/>
        <xdr:cNvSpPr txBox="1"/>
      </xdr:nvSpPr>
      <xdr:spPr>
        <a:xfrm>
          <a:off x="6520542" y="653144"/>
          <a:ext cx="1807028" cy="402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A46C9B4-1B53-4B72-9DF4-719B696ADC38}" type="TxLink">
            <a:rPr lang="en-US" sz="1400" b="0" i="0" u="none" strike="noStrike">
              <a:solidFill>
                <a:srgbClr val="000000"/>
              </a:solidFill>
              <a:latin typeface="Calibri"/>
              <a:ea typeface="+mn-ea"/>
              <a:cs typeface="Calibri"/>
            </a:rPr>
            <a:pPr marL="0" indent="0" algn="ctr"/>
            <a:t>BELOW BUDGET</a:t>
          </a:fld>
          <a:endParaRPr lang="en-IN" sz="1400" b="0" i="0" u="none" strike="noStrike">
            <a:solidFill>
              <a:srgbClr val="000000"/>
            </a:solidFill>
            <a:latin typeface="Calibri"/>
            <a:ea typeface="+mn-ea"/>
            <a:cs typeface="Calibri"/>
          </a:endParaRPr>
        </a:p>
      </xdr:txBody>
    </xdr:sp>
    <xdr:clientData/>
  </xdr:twoCellAnchor>
  <xdr:twoCellAnchor>
    <xdr:from>
      <xdr:col>11</xdr:col>
      <xdr:colOff>32656</xdr:colOff>
      <xdr:row>2</xdr:row>
      <xdr:rowOff>54430</xdr:rowOff>
    </xdr:from>
    <xdr:to>
      <xdr:col>14</xdr:col>
      <xdr:colOff>10884</xdr:colOff>
      <xdr:row>4</xdr:row>
      <xdr:rowOff>87086</xdr:rowOff>
    </xdr:to>
    <xdr:sp macro="" textlink="ANALYSIS!E9">
      <xdr:nvSpPr>
        <xdr:cNvPr id="16" name="TextBox 15"/>
        <xdr:cNvSpPr txBox="1"/>
      </xdr:nvSpPr>
      <xdr:spPr>
        <a:xfrm>
          <a:off x="6520542" y="424544"/>
          <a:ext cx="1807028" cy="402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3F27EF-8D3F-47BC-AC79-590357CF939B}" type="TxLink">
            <a:rPr lang="en-US" sz="1400" b="0" i="0" u="none" strike="noStrike">
              <a:solidFill>
                <a:srgbClr val="000000"/>
              </a:solidFill>
              <a:latin typeface="Calibri"/>
              <a:cs typeface="Calibri"/>
            </a:rPr>
            <a:pPr algn="ctr"/>
            <a:t>(₹29,929)</a:t>
          </a:fld>
          <a:endParaRPr lang="en-IN" sz="24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259569</xdr:colOff>
      <xdr:row>2</xdr:row>
      <xdr:rowOff>34636</xdr:rowOff>
    </xdr:from>
    <xdr:to>
      <xdr:col>5</xdr:col>
      <xdr:colOff>257735</xdr:colOff>
      <xdr:row>5</xdr:row>
      <xdr:rowOff>57496</xdr:rowOff>
    </xdr:to>
    <xdr:sp macro="" textlink="">
      <xdr:nvSpPr>
        <xdr:cNvPr id="3" name="TextBox 2"/>
        <xdr:cNvSpPr txBox="1"/>
      </xdr:nvSpPr>
      <xdr:spPr>
        <a:xfrm>
          <a:off x="1144834" y="415636"/>
          <a:ext cx="2934107"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ANALYSIS</a:t>
          </a:r>
        </a:p>
      </xdr:txBody>
    </xdr:sp>
    <xdr:clientData/>
  </xdr:twoCellAnchor>
  <xdr:twoCellAnchor editAs="oneCell">
    <xdr:from>
      <xdr:col>1</xdr:col>
      <xdr:colOff>82924</xdr:colOff>
      <xdr:row>1</xdr:row>
      <xdr:rowOff>53431</xdr:rowOff>
    </xdr:from>
    <xdr:to>
      <xdr:col>2</xdr:col>
      <xdr:colOff>98165</xdr:colOff>
      <xdr:row>4</xdr:row>
      <xdr:rowOff>167640</xdr:rowOff>
    </xdr:to>
    <xdr:pic>
      <xdr:nvPicPr>
        <xdr:cNvPr id="5" name="Picture 4" descr="Frame Query Clip Art at Clker.com - vector clip art online, royalty ..."/>
        <xdr:cNvPicPr>
          <a:picLocks noChangeAspect="1" noChangeArrowheads="1"/>
        </xdr:cNvPicPr>
      </xdr:nvPicPr>
      <xdr:blipFill>
        <a:blip xmlns:r="http://schemas.openxmlformats.org/officeDocument/2006/relationships" r:embed="rId1" cstate="print">
          <a:duotone>
            <a:schemeClr val="accent3">
              <a:shade val="45000"/>
              <a:satMod val="135000"/>
            </a:schemeClr>
            <a:prstClr val="white"/>
          </a:duotone>
          <a:extLst>
            <a:ext uri="{BEBA8EAE-BF5A-486C-A8C5-ECC9F3942E4B}">
              <a14:imgProps xmlns:a14="http://schemas.microsoft.com/office/drawing/2010/main">
                <a14:imgLayer r:embed="rId2">
                  <a14:imgEffect>
                    <a14:saturation sat="0"/>
                  </a14:imgEffect>
                </a14:imgLayer>
              </a14:imgProps>
            </a:ext>
            <a:ext uri="{28A0092B-C50C-407E-A947-70E740481C1C}">
              <a14:useLocalDpi xmlns:a14="http://schemas.microsoft.com/office/drawing/2010/main" val="0"/>
            </a:ext>
          </a:extLst>
        </a:blip>
        <a:srcRect/>
        <a:stretch>
          <a:fillRect/>
        </a:stretch>
      </xdr:blipFill>
      <xdr:spPr bwMode="auto">
        <a:xfrm>
          <a:off x="251012" y="243931"/>
          <a:ext cx="732417" cy="685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xdr:row>
      <xdr:rowOff>15239</xdr:rowOff>
    </xdr:from>
    <xdr:to>
      <xdr:col>2</xdr:col>
      <xdr:colOff>712470</xdr:colOff>
      <xdr:row>16</xdr:row>
      <xdr:rowOff>104775</xdr:rowOff>
    </xdr:to>
    <mc:AlternateContent xmlns:mc="http://schemas.openxmlformats.org/markup-compatibility/2006" xmlns:a14="http://schemas.microsoft.com/office/drawing/2010/main">
      <mc:Choice Requires="a14">
        <xdr:graphicFrame macro="">
          <xdr:nvGraphicFramePr>
            <xdr:cNvPr id="6" name="Category Type"/>
            <xdr:cNvGraphicFramePr/>
          </xdr:nvGraphicFramePr>
          <xdr:xfrm>
            <a:off x="0" y="0"/>
            <a:ext cx="0" cy="0"/>
          </xdr:xfrm>
          <a:graphic>
            <a:graphicData uri="http://schemas.microsoft.com/office/drawing/2010/slicer">
              <sle:slicer xmlns:sle="http://schemas.microsoft.com/office/drawing/2010/slicer" name="Category Type"/>
            </a:graphicData>
          </a:graphic>
        </xdr:graphicFrame>
      </mc:Choice>
      <mc:Fallback xmlns="">
        <xdr:sp macro="" textlink="">
          <xdr:nvSpPr>
            <xdr:cNvPr id="0" name=""/>
            <xdr:cNvSpPr>
              <a:spLocks noTextEdit="1"/>
            </xdr:cNvSpPr>
          </xdr:nvSpPr>
          <xdr:spPr>
            <a:xfrm>
              <a:off x="0" y="1282064"/>
              <a:ext cx="1474470" cy="1175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xdr:colOff>
      <xdr:row>10</xdr:row>
      <xdr:rowOff>15239</xdr:rowOff>
    </xdr:from>
    <xdr:to>
      <xdr:col>12</xdr:col>
      <xdr:colOff>849630</xdr:colOff>
      <xdr:row>18</xdr:row>
      <xdr:rowOff>156882</xdr:rowOff>
    </xdr:to>
    <mc:AlternateContent xmlns:mc="http://schemas.openxmlformats.org/markup-compatibility/2006" xmlns:a14="http://schemas.microsoft.com/office/drawing/2010/main">
      <mc:Choice Requires="a14">
        <xdr:graphicFrame macro="">
          <xdr:nvGraphicFramePr>
            <xdr:cNvPr id="2" name="Category Type 1"/>
            <xdr:cNvGraphicFramePr/>
          </xdr:nvGraphicFramePr>
          <xdr:xfrm>
            <a:off x="0" y="0"/>
            <a:ext cx="0" cy="0"/>
          </xdr:xfrm>
          <a:graphic>
            <a:graphicData uri="http://schemas.microsoft.com/office/drawing/2010/slicer">
              <sle:slicer xmlns:sle="http://schemas.microsoft.com/office/drawing/2010/slicer" name="Category Type 1"/>
            </a:graphicData>
          </a:graphic>
        </xdr:graphicFrame>
      </mc:Choice>
      <mc:Fallback xmlns="">
        <xdr:sp macro="" textlink="">
          <xdr:nvSpPr>
            <xdr:cNvPr id="0" name=""/>
            <xdr:cNvSpPr>
              <a:spLocks noTextEdit="1"/>
            </xdr:cNvSpPr>
          </xdr:nvSpPr>
          <xdr:spPr>
            <a:xfrm>
              <a:off x="8277561" y="1920239"/>
              <a:ext cx="1828128" cy="1665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526677</xdr:colOff>
      <xdr:row>10</xdr:row>
      <xdr:rowOff>15240</xdr:rowOff>
    </xdr:from>
    <xdr:to>
      <xdr:col>20</xdr:col>
      <xdr:colOff>902970</xdr:colOff>
      <xdr:row>30</xdr:row>
      <xdr:rowOff>123265</xdr:rowOff>
    </xdr:to>
    <mc:AlternateContent xmlns:mc="http://schemas.openxmlformats.org/markup-compatibility/2006" xmlns:a14="http://schemas.microsoft.com/office/drawing/2010/main">
      <mc:Choice Requires="a14">
        <xdr:graphicFrame macro="">
          <xdr:nvGraphicFramePr>
            <xdr:cNvPr id="4"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733059" y="1920240"/>
              <a:ext cx="1227940" cy="3918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GOW" refreshedDate="46171.726860069444" createdVersion="6" refreshedVersion="6" minRefreshableVersion="3" recordCount="937">
  <cacheSource type="worksheet">
    <worksheetSource name="QueryTable"/>
  </cacheSource>
  <cacheFields count="14">
    <cacheField name="Sl. No." numFmtId="0">
      <sharedItems containsString="0" containsBlank="1" containsNumber="1" containsInteger="1" minValue="1" maxValue="757"/>
    </cacheField>
    <cacheField name="Accnt. Name" numFmtId="0">
      <sharedItems containsBlank="1"/>
    </cacheField>
    <cacheField name="Date" numFmtId="14">
      <sharedItems containsSemiMixedTypes="0" containsNonDate="0" containsDate="1" containsString="0" minDate="2025-11-01T00:00:00" maxDate="2026-12-31T00:00:00" count="198">
        <d v="2025-11-01T00:00:00"/>
        <d v="2025-11-06T00:00:00"/>
        <d v="2025-11-02T00:00:00"/>
        <d v="2025-11-03T00:00:00"/>
        <d v="2025-11-05T00:00:00"/>
        <d v="2025-11-04T00:00:00"/>
        <d v="2025-11-08T00:00:00"/>
        <d v="2025-11-09T00:00:00"/>
        <d v="2025-11-11T00:00:00"/>
        <d v="2025-11-12T00:00:00"/>
        <d v="2025-11-13T00:00:00"/>
        <d v="2025-11-14T00:00:00"/>
        <d v="2025-11-16T00:00:00"/>
        <d v="2025-11-17T00:00:00"/>
        <d v="2025-11-18T00:00:00"/>
        <d v="2025-11-21T00:00:00"/>
        <d v="2025-11-22T00:00:00"/>
        <d v="2025-11-23T00:00:00"/>
        <d v="2025-11-24T00:00:00"/>
        <d v="2025-11-25T00:00:00"/>
        <d v="2025-11-26T00:00:00"/>
        <d v="2025-11-27T00:00:00"/>
        <d v="2025-11-28T00:00:00"/>
        <d v="2025-11-29T00:00:00"/>
        <d v="2025-11-30T00:00:00"/>
        <d v="2025-12-01T00:00:00"/>
        <d v="2025-12-02T00:00:00"/>
        <d v="2025-12-03T00:00:00"/>
        <d v="2025-12-05T00:00:00"/>
        <d v="2025-12-07T00:00:00"/>
        <d v="2025-12-08T00:00:00"/>
        <d v="2025-12-09T00:00:00"/>
        <d v="2025-12-10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3T00:00:00"/>
        <d v="2026-01-24T00:00:00"/>
        <d v="2026-01-25T00:00:00"/>
        <d v="2026-01-26T00:00:00"/>
        <d v="2026-01-27T00:00:00"/>
        <d v="2026-01-28T00:00:00"/>
        <d v="2026-01-29T00:00:00"/>
        <d v="2026-02-01T00:00:00"/>
        <d v="2026-02-02T00:00:00"/>
        <d v="2026-02-03T00:00:00"/>
        <d v="2026-02-05T00:00:00"/>
        <d v="2026-02-07T00:00:00"/>
        <d v="2026-02-08T00:00:00"/>
        <d v="2026-02-09T00:00:00"/>
        <d v="2026-02-10T00:00:00"/>
        <d v="2026-02-11T00:00:00"/>
        <d v="2026-02-13T00:00:00"/>
        <d v="2026-02-14T00:00:00"/>
        <d v="2026-02-15T00:00:00"/>
        <d v="2026-02-16T00:00:00"/>
        <d v="2026-02-17T00:00:00"/>
        <d v="2026-02-18T00:00:00"/>
        <d v="2026-02-19T00:00:00"/>
        <d v="2026-02-20T00:00:00"/>
        <d v="2026-02-21T00:00:00"/>
        <d v="2026-02-22T00:00:00"/>
        <d v="2026-02-23T00:00:00"/>
        <d v="2026-02-25T00:00:00"/>
        <d v="2026-02-26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7T00:00:00"/>
        <d v="2026-03-28T00:00:00"/>
        <d v="2026-03-29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6T00:00:00"/>
        <d v="2026-04-27T00:00:00"/>
        <d v="2026-04-28T00:00:00"/>
        <d v="2026-04-29T00:00:00"/>
        <d v="2026-04-30T00:00:00"/>
        <d v="2026-05-01T00:00:00"/>
        <d v="2026-05-02T00:00:00"/>
        <d v="2026-05-03T00:00:00"/>
        <d v="2026-05-04T00:00:00"/>
        <d v="2026-05-05T00:00:00"/>
        <d v="2026-05-06T00:00:00"/>
        <d v="2026-05-07T00:00:00"/>
        <d v="2026-05-09T00:00:00"/>
        <d v="2026-05-10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8T00:00:00"/>
        <d v="2026-05-29T00:00:00"/>
        <d v="2026-06-01T00:00:00"/>
        <d v="2026-07-01T00:00:00"/>
        <d v="2026-08-01T00:00:00"/>
        <d v="2026-09-01T00:00:00"/>
        <d v="2026-10-01T00:00:00"/>
        <d v="2026-11-01T00:00:00"/>
        <d v="2026-12-01T00:00:00"/>
        <d v="2026-12-30T00:00:00" u="1"/>
        <d v="2026-05-08T00:00:00" u="1"/>
        <d v="2026-12-29T00:00:00" u="1"/>
        <d v="2026-05-30T00:00:00" u="1"/>
      </sharedItems>
    </cacheField>
    <cacheField name="Description" numFmtId="0">
      <sharedItems containsBlank="1"/>
    </cacheField>
    <cacheField name="Sub-Category" numFmtId="0">
      <sharedItems containsBlank="1" count="44">
        <s v="Repairs/Maintenance"/>
        <s v="Groceries"/>
        <s v="Eating Out"/>
        <s v="Fuel"/>
        <s v="Other"/>
        <s v="Bus/Taxi/Train Fare"/>
        <s v="Salary_G"/>
        <s v="Credit Cards"/>
        <s v="Investments"/>
        <s v="Salary_R"/>
        <s v="Other Income"/>
        <s v="To Home_G"/>
        <s v="To Home_R"/>
        <s v="Mobile/Wifi"/>
        <s v="Clothing"/>
        <s v="Media/Cinema"/>
        <s v="Home Supplies"/>
        <s v="Mortgage/Rent"/>
        <s v="Water"/>
        <s v="Electricity"/>
        <s v="Medicine/Drugs"/>
        <s v="Memberships"/>
        <s v="Personal Supplies"/>
        <s v="Sports"/>
        <s v="Other Loans"/>
        <s v="OTT's"/>
        <s v="Grooming"/>
        <s v="Donations"/>
        <s v="Activities"/>
        <s v="Gifts Given"/>
        <m/>
        <s v="Gadgets"/>
        <s v="Hospital"/>
        <s v="Lent to Others"/>
        <s v="Borrowed From"/>
        <s v="Borrow Repayment"/>
        <s v="Lent Repayment"/>
        <s v="Vacation/Travel"/>
        <s v="Emergency Fund" u="1"/>
        <s v="Previous Balance" u="1"/>
        <s v="To Home" u="1"/>
        <s v="Mobile" u="1"/>
        <s v="Dining" u="1"/>
        <s v="Salary" u="1"/>
      </sharedItems>
    </cacheField>
    <cacheField name="Debit" numFmtId="0">
      <sharedItems containsString="0" containsBlank="1" containsNumber="1" minValue="0" maxValue="63000"/>
    </cacheField>
    <cacheField name="Credit" numFmtId="0">
      <sharedItems containsString="0" containsBlank="1" containsNumber="1" minValue="0" maxValue="61720"/>
    </cacheField>
    <cacheField name="Actual" numFmtId="0">
      <sharedItems containsString="0" containsBlank="1" containsNumber="1" minValue="-63000" maxValue="61720"/>
    </cacheField>
    <cacheField name="Budget" numFmtId="0">
      <sharedItems containsSemiMixedTypes="0" containsString="0" containsNumber="1" containsInteger="1" minValue="-67000" maxValue="56200"/>
    </cacheField>
    <cacheField name="Category" numFmtId="0">
      <sharedItems containsBlank="1" count="17">
        <s v="✈Transportation"/>
        <s v="🍴Daily Living"/>
        <s v="⭕Miscellaneous"/>
        <s v="💰Fixed"/>
        <s v="😐Obligations"/>
        <s v="💲Savings"/>
        <s v="📈Variable"/>
        <s v="💸Bills/Subscriptions"/>
        <s v="🎥Entertainment"/>
        <s v="🏠Home Expenses"/>
        <s v="⛑Health"/>
        <s v="🎁Charity/Gifts"/>
        <m/>
        <s v="💳Transfer (Out)"/>
        <s v="💳Transfer (In)"/>
        <s v="💳Debt/Loans" u="1"/>
        <s v="🚩Carryforward" u="1"/>
      </sharedItems>
    </cacheField>
    <cacheField name="Category Type" numFmtId="0">
      <sharedItems containsBlank="1" count="8">
        <s v="Expense"/>
        <s v="Income"/>
        <s v="Savings"/>
        <m/>
        <s v="Transfer (Out)" u="1"/>
        <s v="Transfer" u="1"/>
        <s v="Income Surplus/(Deficit)" f="1"/>
        <s v="Transfer (In)" u="1"/>
      </sharedItems>
    </cacheField>
    <cacheField name="Year" numFmtId="0">
      <sharedItems containsSemiMixedTypes="0" containsString="0" containsNumber="1" containsInteger="1" minValue="2024" maxValue="2026" count="3">
        <n v="2025"/>
        <n v="2026"/>
        <n v="2024" u="1"/>
      </sharedItems>
    </cacheField>
    <cacheField name="Month" numFmtId="0">
      <sharedItems containsSemiMixedTypes="0" containsString="0" containsNumber="1" containsInteger="1" minValue="1" maxValue="12" count="12">
        <n v="11"/>
        <n v="12"/>
        <n v="1"/>
        <n v="2"/>
        <n v="3"/>
        <n v="4"/>
        <n v="5"/>
        <n v="6"/>
        <n v="7"/>
        <n v="8"/>
        <n v="9"/>
        <n v="10"/>
      </sharedItems>
    </cacheField>
    <cacheField name="Variance" numFmtId="0" formula="Actual-Budget" databaseField="0"/>
  </cacheFields>
  <calculatedItems count="1">
    <calculatedItem formula="'Category Type'[Income]+'Category Type'[Expense]">
      <pivotArea cacheIndex="1" outline="0" fieldPosition="0">
        <references count="1">
          <reference field="10" count="1">
            <x v="6"/>
          </reference>
        </references>
      </pivotArea>
    </calculatedItem>
  </calculatedItem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37">
  <r>
    <n v="1"/>
    <s v="Gowtham"/>
    <x v="0"/>
    <s v="S G TYRE"/>
    <x v="0"/>
    <n v="5100"/>
    <n v="0"/>
    <n v="-5100"/>
    <n v="0"/>
    <x v="0"/>
    <x v="0"/>
    <x v="0"/>
    <x v="0"/>
  </r>
  <r>
    <n v="35"/>
    <s v="Gowtham"/>
    <x v="1"/>
    <s v="KRISHNAP"/>
    <x v="0"/>
    <n v="2700"/>
    <n v="0"/>
    <n v="-2700"/>
    <n v="0"/>
    <x v="0"/>
    <x v="0"/>
    <x v="0"/>
    <x v="0"/>
  </r>
  <r>
    <n v="2"/>
    <s v="Gowtham"/>
    <x v="0"/>
    <s v="MAGADEVAN R"/>
    <x v="1"/>
    <n v="30"/>
    <n v="0"/>
    <n v="-30"/>
    <n v="0"/>
    <x v="1"/>
    <x v="0"/>
    <x v="0"/>
    <x v="0"/>
  </r>
  <r>
    <n v="5"/>
    <s v="Gowtham"/>
    <x v="0"/>
    <s v="Arav Farm"/>
    <x v="1"/>
    <n v="27"/>
    <n v="0"/>
    <n v="-27"/>
    <n v="0"/>
    <x v="1"/>
    <x v="0"/>
    <x v="0"/>
    <x v="0"/>
  </r>
  <r>
    <n v="17"/>
    <s v="Gowtham"/>
    <x v="2"/>
    <s v="MOHAMMED SAHIL"/>
    <x v="1"/>
    <n v="250"/>
    <n v="0"/>
    <n v="-250"/>
    <n v="0"/>
    <x v="1"/>
    <x v="0"/>
    <x v="0"/>
    <x v="0"/>
  </r>
  <r>
    <n v="18"/>
    <s v="Gowtham"/>
    <x v="2"/>
    <s v="THE BIG MARKET"/>
    <x v="1"/>
    <n v="158"/>
    <n v="0"/>
    <n v="-158"/>
    <n v="0"/>
    <x v="1"/>
    <x v="0"/>
    <x v="0"/>
    <x v="0"/>
  </r>
  <r>
    <n v="19"/>
    <s v="Gowtham"/>
    <x v="2"/>
    <s v="SHEIK KALEEM"/>
    <x v="1"/>
    <n v="140"/>
    <n v="0"/>
    <n v="-140"/>
    <n v="0"/>
    <x v="1"/>
    <x v="0"/>
    <x v="0"/>
    <x v="0"/>
  </r>
  <r>
    <n v="21"/>
    <s v="Gowtham"/>
    <x v="2"/>
    <s v="Arav Farm"/>
    <x v="1"/>
    <n v="53"/>
    <n v="0"/>
    <n v="-53"/>
    <n v="0"/>
    <x v="1"/>
    <x v="0"/>
    <x v="0"/>
    <x v="0"/>
  </r>
  <r>
    <n v="25"/>
    <s v="Gowtham"/>
    <x v="3"/>
    <s v="Arav Farm"/>
    <x v="1"/>
    <n v="110"/>
    <n v="0"/>
    <n v="-110"/>
    <n v="0"/>
    <x v="1"/>
    <x v="0"/>
    <x v="0"/>
    <x v="0"/>
  </r>
  <r>
    <n v="26"/>
    <s v="Gowtham"/>
    <x v="3"/>
    <s v="DINOY GE"/>
    <x v="1"/>
    <n v="45"/>
    <n v="0"/>
    <n v="-45"/>
    <n v="0"/>
    <x v="1"/>
    <x v="0"/>
    <x v="0"/>
    <x v="0"/>
  </r>
  <r>
    <n v="32"/>
    <s v="Gowtham"/>
    <x v="4"/>
    <s v="SHEIK KA"/>
    <x v="1"/>
    <n v="140"/>
    <n v="0"/>
    <n v="-140"/>
    <n v="0"/>
    <x v="1"/>
    <x v="0"/>
    <x v="0"/>
    <x v="0"/>
  </r>
  <r>
    <n v="33"/>
    <s v="Gowtham"/>
    <x v="4"/>
    <s v="Mr VENKA"/>
    <x v="1"/>
    <n v="62"/>
    <n v="0"/>
    <n v="-62"/>
    <n v="0"/>
    <x v="1"/>
    <x v="0"/>
    <x v="0"/>
    <x v="0"/>
  </r>
  <r>
    <n v="3"/>
    <s v="Gowtham"/>
    <x v="0"/>
    <s v="SURUCHI VEG"/>
    <x v="2"/>
    <n v="50"/>
    <n v="0"/>
    <n v="-50"/>
    <n v="0"/>
    <x v="1"/>
    <x v="0"/>
    <x v="0"/>
    <x v="0"/>
  </r>
  <r>
    <n v="4"/>
    <s v="Gowtham"/>
    <x v="0"/>
    <s v="SURUCHI VEG"/>
    <x v="2"/>
    <n v="40"/>
    <n v="0"/>
    <n v="-40"/>
    <n v="0"/>
    <x v="1"/>
    <x v="0"/>
    <x v="0"/>
    <x v="0"/>
  </r>
  <r>
    <n v="28"/>
    <s v="Gowtham"/>
    <x v="5"/>
    <s v="Vaishno Devi Ga"/>
    <x v="3"/>
    <n v="200"/>
    <n v="0"/>
    <n v="-200"/>
    <n v="0"/>
    <x v="0"/>
    <x v="0"/>
    <x v="0"/>
    <x v="0"/>
  </r>
  <r>
    <n v="40"/>
    <s v="Gowtham"/>
    <x v="6"/>
    <s v="Vaishno"/>
    <x v="3"/>
    <n v="500"/>
    <n v="0"/>
    <n v="-500"/>
    <n v="0"/>
    <x v="0"/>
    <x v="0"/>
    <x v="0"/>
    <x v="0"/>
  </r>
  <r>
    <n v="6"/>
    <s v="Gowtham"/>
    <x v="0"/>
    <s v="Manjunatha R V"/>
    <x v="4"/>
    <n v="0"/>
    <n v="106"/>
    <n v="106"/>
    <n v="0"/>
    <x v="2"/>
    <x v="0"/>
    <x v="0"/>
    <x v="0"/>
  </r>
  <r>
    <n v="20"/>
    <s v="Gowtham"/>
    <x v="2"/>
    <s v="Gowtham Saravan"/>
    <x v="4"/>
    <n v="100"/>
    <n v="0"/>
    <n v="-100"/>
    <n v="0"/>
    <x v="2"/>
    <x v="0"/>
    <x v="0"/>
    <x v="0"/>
  </r>
  <r>
    <n v="22"/>
    <s v="Gowtham"/>
    <x v="2"/>
    <s v="GOWTHAM"/>
    <x v="4"/>
    <n v="0"/>
    <n v="100"/>
    <n v="100"/>
    <n v="0"/>
    <x v="2"/>
    <x v="0"/>
    <x v="0"/>
    <x v="0"/>
  </r>
  <r>
    <n v="23"/>
    <s v="Gowtham"/>
    <x v="2"/>
    <s v="SANTHIYA M"/>
    <x v="4"/>
    <n v="0"/>
    <n v="106"/>
    <n v="106"/>
    <n v="0"/>
    <x v="2"/>
    <x v="0"/>
    <x v="0"/>
    <x v="0"/>
  </r>
  <r>
    <n v="29"/>
    <s v="Gowtham"/>
    <x v="5"/>
    <s v="Renuka K"/>
    <x v="4"/>
    <n v="200"/>
    <n v="0"/>
    <n v="-200"/>
    <n v="0"/>
    <x v="2"/>
    <x v="0"/>
    <x v="0"/>
    <x v="0"/>
  </r>
  <r>
    <n v="31"/>
    <s v="Gowtham"/>
    <x v="4"/>
    <s v="SRIKANTH"/>
    <x v="5"/>
    <n v="70"/>
    <n v="0"/>
    <n v="-70"/>
    <n v="0"/>
    <x v="0"/>
    <x v="0"/>
    <x v="0"/>
    <x v="0"/>
  </r>
  <r>
    <n v="36"/>
    <s v="Gowtham"/>
    <x v="1"/>
    <s v="RAMACHAN"/>
    <x v="5"/>
    <n v="70"/>
    <n v="0"/>
    <n v="-70"/>
    <n v="0"/>
    <x v="0"/>
    <x v="0"/>
    <x v="0"/>
    <x v="0"/>
  </r>
  <r>
    <n v="37"/>
    <s v="Gowtham"/>
    <x v="6"/>
    <s v="IRCTC Co"/>
    <x v="5"/>
    <n v="1143.5999999999999"/>
    <n v="0"/>
    <n v="-1143.5999999999999"/>
    <n v="0"/>
    <x v="0"/>
    <x v="0"/>
    <x v="0"/>
    <x v="0"/>
  </r>
  <r>
    <n v="38"/>
    <s v="Gowtham"/>
    <x v="6"/>
    <s v="CREDPAYR"/>
    <x v="5"/>
    <n v="1420"/>
    <n v="0"/>
    <n v="-1420"/>
    <n v="0"/>
    <x v="0"/>
    <x v="0"/>
    <x v="0"/>
    <x v="0"/>
  </r>
  <r>
    <n v="7"/>
    <s v="Gowtham"/>
    <x v="0"/>
    <s v="Salary"/>
    <x v="6"/>
    <n v="0"/>
    <n v="48200"/>
    <n v="48200"/>
    <n v="0"/>
    <x v="3"/>
    <x v="1"/>
    <x v="0"/>
    <x v="0"/>
  </r>
  <r>
    <n v="8"/>
    <s v="Gowtham"/>
    <x v="0"/>
    <s v="Credit Card Bill"/>
    <x v="7"/>
    <n v="2921"/>
    <n v="0"/>
    <n v="-2921"/>
    <n v="0"/>
    <x v="4"/>
    <x v="0"/>
    <x v="0"/>
    <x v="0"/>
  </r>
  <r>
    <n v="12"/>
    <s v="Renuka"/>
    <x v="0"/>
    <s v="Credit Card Bill"/>
    <x v="7"/>
    <n v="20000"/>
    <n v="0"/>
    <n v="-20000"/>
    <n v="0"/>
    <x v="4"/>
    <x v="0"/>
    <x v="0"/>
    <x v="0"/>
  </r>
  <r>
    <n v="34"/>
    <s v="Gowtham"/>
    <x v="4"/>
    <s v="CHRG-ATM TXN DECLINE FEE"/>
    <x v="7"/>
    <n v="29.5"/>
    <n v="0"/>
    <n v="-29.5"/>
    <n v="0"/>
    <x v="4"/>
    <x v="0"/>
    <x v="0"/>
    <x v="0"/>
  </r>
  <r>
    <n v="9"/>
    <s v="Renuka"/>
    <x v="0"/>
    <s v="Thangamayil"/>
    <x v="8"/>
    <n v="63000"/>
    <n v="0"/>
    <n v="-63000"/>
    <n v="0"/>
    <x v="5"/>
    <x v="2"/>
    <x v="0"/>
    <x v="0"/>
  </r>
  <r>
    <n v="10"/>
    <s v="Renuka"/>
    <x v="0"/>
    <s v="Salary"/>
    <x v="9"/>
    <n v="0"/>
    <n v="43000"/>
    <n v="43000"/>
    <n v="0"/>
    <x v="3"/>
    <x v="1"/>
    <x v="0"/>
    <x v="0"/>
  </r>
  <r>
    <n v="11"/>
    <s v="Renuka"/>
    <x v="0"/>
    <s v="Vasanth"/>
    <x v="10"/>
    <n v="0"/>
    <n v="50000"/>
    <n v="50000"/>
    <n v="0"/>
    <x v="6"/>
    <x v="1"/>
    <x v="0"/>
    <x v="0"/>
  </r>
  <r>
    <n v="13"/>
    <s v="Renuka"/>
    <x v="0"/>
    <s v="Parimala"/>
    <x v="11"/>
    <n v="11000"/>
    <n v="0"/>
    <n v="-11000"/>
    <n v="0"/>
    <x v="4"/>
    <x v="0"/>
    <x v="0"/>
    <x v="0"/>
  </r>
  <r>
    <n v="14"/>
    <s v="Renuka"/>
    <x v="0"/>
    <s v="Selvarani"/>
    <x v="12"/>
    <n v="5000"/>
    <n v="0"/>
    <n v="-5000"/>
    <n v="0"/>
    <x v="4"/>
    <x v="0"/>
    <x v="0"/>
    <x v="0"/>
  </r>
  <r>
    <n v="24"/>
    <s v="Gowtham"/>
    <x v="3"/>
    <s v="Airtel Renuka"/>
    <x v="13"/>
    <n v="1000"/>
    <n v="0"/>
    <n v="-1000"/>
    <n v="0"/>
    <x v="7"/>
    <x v="0"/>
    <x v="0"/>
    <x v="0"/>
  </r>
  <r>
    <n v="27"/>
    <s v="Gowtham"/>
    <x v="5"/>
    <s v="Selvarani Airtel"/>
    <x v="13"/>
    <n v="298"/>
    <n v="0"/>
    <n v="-298"/>
    <n v="0"/>
    <x v="7"/>
    <x v="0"/>
    <x v="0"/>
    <x v="0"/>
  </r>
  <r>
    <n v="30"/>
    <s v="Gowtham"/>
    <x v="5"/>
    <s v="Parimala Jio"/>
    <x v="13"/>
    <n v="299"/>
    <n v="0"/>
    <n v="-299"/>
    <n v="0"/>
    <x v="7"/>
    <x v="0"/>
    <x v="0"/>
    <x v="0"/>
  </r>
  <r>
    <n v="15"/>
    <s v="Gowtham"/>
    <x v="2"/>
    <s v="Sri Sai"/>
    <x v="14"/>
    <n v="2717"/>
    <n v="0"/>
    <n v="-2717"/>
    <n v="0"/>
    <x v="1"/>
    <x v="0"/>
    <x v="0"/>
    <x v="0"/>
  </r>
  <r>
    <n v="16"/>
    <s v="Gowtham"/>
    <x v="2"/>
    <s v="AVENUE S"/>
    <x v="14"/>
    <n v="3204.5"/>
    <n v="0"/>
    <n v="-3204.5"/>
    <n v="0"/>
    <x v="1"/>
    <x v="0"/>
    <x v="0"/>
    <x v="0"/>
  </r>
  <r>
    <n v="39"/>
    <s v="Gowtham"/>
    <x v="6"/>
    <s v="BOOKMYSH"/>
    <x v="15"/>
    <n v="470.8"/>
    <n v="0"/>
    <n v="-470.8"/>
    <n v="0"/>
    <x v="8"/>
    <x v="0"/>
    <x v="0"/>
    <x v="0"/>
  </r>
  <r>
    <n v="41"/>
    <s v="Gowtham"/>
    <x v="6"/>
    <s v="Halli Th"/>
    <x v="1"/>
    <n v="352"/>
    <n v="0"/>
    <n v="-352"/>
    <n v="0"/>
    <x v="1"/>
    <x v="0"/>
    <x v="0"/>
    <x v="0"/>
  </r>
  <r>
    <n v="42"/>
    <s v="Gowtham"/>
    <x v="6"/>
    <s v="RENUKA"/>
    <x v="2"/>
    <n v="60"/>
    <n v="0"/>
    <n v="-60"/>
    <n v="0"/>
    <x v="1"/>
    <x v="0"/>
    <x v="0"/>
    <x v="0"/>
  </r>
  <r>
    <n v="43"/>
    <s v="Gowtham"/>
    <x v="6"/>
    <s v="NARAYAN RAM"/>
    <x v="2"/>
    <n v="30"/>
    <n v="0"/>
    <n v="-30"/>
    <n v="0"/>
    <x v="1"/>
    <x v="0"/>
    <x v="0"/>
    <x v="0"/>
  </r>
  <r>
    <n v="44"/>
    <s v="Gowtham"/>
    <x v="6"/>
    <s v="SRIKANTH S"/>
    <x v="2"/>
    <n v="30"/>
    <n v="0"/>
    <n v="-30"/>
    <n v="0"/>
    <x v="1"/>
    <x v="0"/>
    <x v="0"/>
    <x v="0"/>
  </r>
  <r>
    <n v="45"/>
    <s v="Gowtham"/>
    <x v="6"/>
    <s v="RAJASHEKAR"/>
    <x v="2"/>
    <n v="20"/>
    <n v="0"/>
    <n v="-20"/>
    <n v="0"/>
    <x v="1"/>
    <x v="0"/>
    <x v="0"/>
    <x v="0"/>
  </r>
  <r>
    <n v="46"/>
    <s v="Renuka"/>
    <x v="6"/>
    <s v="Sagar Dress"/>
    <x v="14"/>
    <n v="750"/>
    <n v="0"/>
    <n v="-750"/>
    <n v="0"/>
    <x v="1"/>
    <x v="0"/>
    <x v="0"/>
    <x v="0"/>
  </r>
  <r>
    <n v="47"/>
    <s v="Gowtham"/>
    <x v="7"/>
    <s v="Nog Veg"/>
    <x v="1"/>
    <n v="940"/>
    <n v="0"/>
    <n v="-940"/>
    <n v="0"/>
    <x v="1"/>
    <x v="0"/>
    <x v="0"/>
    <x v="0"/>
  </r>
  <r>
    <n v="48"/>
    <s v="Gowtham"/>
    <x v="7"/>
    <s v="Seeds"/>
    <x v="16"/>
    <n v="80"/>
    <n v="0"/>
    <n v="-80"/>
    <n v="0"/>
    <x v="9"/>
    <x v="0"/>
    <x v="0"/>
    <x v="0"/>
  </r>
  <r>
    <n v="49"/>
    <s v="Gowtham"/>
    <x v="7"/>
    <s v="Snacks"/>
    <x v="2"/>
    <n v="165"/>
    <n v="0"/>
    <n v="-165"/>
    <n v="0"/>
    <x v="1"/>
    <x v="0"/>
    <x v="0"/>
    <x v="0"/>
  </r>
  <r>
    <n v="50"/>
    <s v="Gowtham"/>
    <x v="8"/>
    <s v="Train Ticket Refun"/>
    <x v="5"/>
    <n v="0"/>
    <n v="740"/>
    <n v="740"/>
    <n v="0"/>
    <x v="0"/>
    <x v="0"/>
    <x v="0"/>
    <x v="0"/>
  </r>
  <r>
    <n v="51"/>
    <s v="Gowtham"/>
    <x v="8"/>
    <s v="SETC"/>
    <x v="5"/>
    <n v="1330"/>
    <n v="0"/>
    <n v="-1330"/>
    <n v="0"/>
    <x v="0"/>
    <x v="0"/>
    <x v="0"/>
    <x v="0"/>
  </r>
  <r>
    <n v="52"/>
    <s v="Gowtham"/>
    <x v="9"/>
    <s v="Monitor Cable"/>
    <x v="16"/>
    <n v="255"/>
    <n v="0"/>
    <n v="-255"/>
    <n v="0"/>
    <x v="9"/>
    <x v="0"/>
    <x v="0"/>
    <x v="0"/>
  </r>
  <r>
    <n v="53"/>
    <s v="Gowtham"/>
    <x v="10"/>
    <s v="Arav Farm"/>
    <x v="1"/>
    <n v="125"/>
    <n v="0"/>
    <n v="-125"/>
    <n v="0"/>
    <x v="1"/>
    <x v="0"/>
    <x v="0"/>
    <x v="0"/>
  </r>
  <r>
    <n v="54"/>
    <s v="Gowtham"/>
    <x v="10"/>
    <s v="Paani Poori"/>
    <x v="2"/>
    <n v="40"/>
    <n v="0"/>
    <n v="-40"/>
    <n v="0"/>
    <x v="1"/>
    <x v="0"/>
    <x v="0"/>
    <x v="0"/>
  </r>
  <r>
    <n v="55"/>
    <s v="Gowtham"/>
    <x v="10"/>
    <s v="KPN Fresh"/>
    <x v="1"/>
    <n v="803.46"/>
    <n v="0"/>
    <n v="-803.46"/>
    <n v="0"/>
    <x v="1"/>
    <x v="0"/>
    <x v="0"/>
    <x v="0"/>
  </r>
  <r>
    <n v="56"/>
    <s v="Gowtham"/>
    <x v="11"/>
    <s v="Chicken Roll"/>
    <x v="2"/>
    <n v="160"/>
    <n v="0"/>
    <n v="-160"/>
    <n v="0"/>
    <x v="1"/>
    <x v="0"/>
    <x v="0"/>
    <x v="0"/>
  </r>
  <r>
    <n v="57"/>
    <s v="Gowtham"/>
    <x v="11"/>
    <s v="Flower"/>
    <x v="16"/>
    <n v="20"/>
    <n v="0"/>
    <n v="-20"/>
    <n v="0"/>
    <x v="9"/>
    <x v="0"/>
    <x v="0"/>
    <x v="0"/>
  </r>
  <r>
    <n v="58"/>
    <s v="Gowtham"/>
    <x v="11"/>
    <s v="House Rent"/>
    <x v="17"/>
    <n v="15500"/>
    <n v="0"/>
    <n v="-15500"/>
    <n v="0"/>
    <x v="9"/>
    <x v="0"/>
    <x v="0"/>
    <x v="0"/>
  </r>
  <r>
    <n v="59"/>
    <s v="Gowtham"/>
    <x v="11"/>
    <s v="Water"/>
    <x v="18"/>
    <n v="250"/>
    <n v="0"/>
    <n v="-250"/>
    <n v="0"/>
    <x v="9"/>
    <x v="0"/>
    <x v="0"/>
    <x v="0"/>
  </r>
  <r>
    <n v="60"/>
    <s v="Gowtham"/>
    <x v="11"/>
    <s v="Electricity"/>
    <x v="19"/>
    <n v="609"/>
    <n v="0"/>
    <n v="-609"/>
    <n v="0"/>
    <x v="9"/>
    <x v="0"/>
    <x v="0"/>
    <x v="0"/>
  </r>
  <r>
    <n v="61"/>
    <s v="Renuka"/>
    <x v="11"/>
    <s v="Gas"/>
    <x v="16"/>
    <n v="856"/>
    <n v="0"/>
    <n v="-856"/>
    <n v="0"/>
    <x v="9"/>
    <x v="0"/>
    <x v="0"/>
    <x v="0"/>
  </r>
  <r>
    <n v="62"/>
    <s v="Renuka"/>
    <x v="11"/>
    <s v="Zepto"/>
    <x v="16"/>
    <n v="384"/>
    <n v="0"/>
    <n v="-384"/>
    <n v="0"/>
    <x v="9"/>
    <x v="0"/>
    <x v="0"/>
    <x v="0"/>
  </r>
  <r>
    <n v="63"/>
    <s v="Renuka"/>
    <x v="11"/>
    <s v="Eating Out-Accencture"/>
    <x v="2"/>
    <n v="490"/>
    <n v="0"/>
    <n v="-490"/>
    <n v="0"/>
    <x v="1"/>
    <x v="0"/>
    <x v="0"/>
    <x v="0"/>
  </r>
  <r>
    <n v="64"/>
    <s v="Renuka"/>
    <x v="11"/>
    <s v="Grocerries-Untill 14-Nov"/>
    <x v="1"/>
    <n v="715"/>
    <n v="0"/>
    <n v="-715"/>
    <n v="0"/>
    <x v="1"/>
    <x v="0"/>
    <x v="0"/>
    <x v="0"/>
  </r>
  <r>
    <n v="65"/>
    <s v="Gowtham"/>
    <x v="12"/>
    <s v="Grocerries-Milk, Masala"/>
    <x v="1"/>
    <n v="67"/>
    <n v="0"/>
    <n v="-67"/>
    <n v="0"/>
    <x v="1"/>
    <x v="0"/>
    <x v="0"/>
    <x v="0"/>
  </r>
  <r>
    <n v="66"/>
    <s v="Gowtham"/>
    <x v="12"/>
    <s v="Chicken"/>
    <x v="1"/>
    <n v="150"/>
    <n v="0"/>
    <n v="-150"/>
    <n v="0"/>
    <x v="1"/>
    <x v="0"/>
    <x v="0"/>
    <x v="0"/>
  </r>
  <r>
    <n v="67"/>
    <s v="Gowtham"/>
    <x v="12"/>
    <s v="Fish"/>
    <x v="1"/>
    <n v="330"/>
    <n v="0"/>
    <n v="-330"/>
    <n v="0"/>
    <x v="1"/>
    <x v="0"/>
    <x v="0"/>
    <x v="0"/>
  </r>
  <r>
    <n v="68"/>
    <s v="Gowtham"/>
    <x v="12"/>
    <s v="Tea"/>
    <x v="2"/>
    <n v="40"/>
    <n v="0"/>
    <n v="-40"/>
    <n v="0"/>
    <x v="1"/>
    <x v="0"/>
    <x v="0"/>
    <x v="0"/>
  </r>
  <r>
    <n v="69"/>
    <s v="Gowtham"/>
    <x v="13"/>
    <s v="Arav Farm till 21"/>
    <x v="1"/>
    <n v="147"/>
    <n v="0"/>
    <n v="-147"/>
    <n v="0"/>
    <x v="1"/>
    <x v="0"/>
    <x v="0"/>
    <x v="0"/>
  </r>
  <r>
    <n v="70"/>
    <s v="Renuka"/>
    <x v="13"/>
    <s v="Zepto"/>
    <x v="1"/>
    <n v="161"/>
    <n v="0"/>
    <n v="-161"/>
    <n v="0"/>
    <x v="1"/>
    <x v="0"/>
    <x v="0"/>
    <x v="0"/>
  </r>
  <r>
    <n v="71"/>
    <s v="Renuka"/>
    <x v="14"/>
    <s v="Dinner"/>
    <x v="2"/>
    <n v="360"/>
    <n v="0"/>
    <n v="-360"/>
    <n v="0"/>
    <x v="1"/>
    <x v="0"/>
    <x v="0"/>
    <x v="0"/>
  </r>
  <r>
    <n v="72"/>
    <s v="Renuka"/>
    <x v="14"/>
    <s v="Gocerries"/>
    <x v="1"/>
    <n v="500"/>
    <n v="0"/>
    <n v="-500"/>
    <n v="0"/>
    <x v="1"/>
    <x v="0"/>
    <x v="0"/>
    <x v="0"/>
  </r>
  <r>
    <n v="73"/>
    <s v="Gowtham"/>
    <x v="15"/>
    <s v="Dinner @Shanthi Nagar"/>
    <x v="2"/>
    <n v="340"/>
    <n v="0"/>
    <n v="-340"/>
    <n v="0"/>
    <x v="1"/>
    <x v="0"/>
    <x v="0"/>
    <x v="0"/>
  </r>
  <r>
    <n v="74"/>
    <s v="Gowtham"/>
    <x v="16"/>
    <s v="Tea @ Lakshmi Nagar"/>
    <x v="2"/>
    <n v="24"/>
    <n v="0"/>
    <n v="-24"/>
    <n v="0"/>
    <x v="1"/>
    <x v="0"/>
    <x v="0"/>
    <x v="0"/>
  </r>
  <r>
    <n v="75"/>
    <s v="Gowtham"/>
    <x v="16"/>
    <s v="Medicals"/>
    <x v="20"/>
    <n v="30"/>
    <n v="0"/>
    <n v="-30"/>
    <n v="0"/>
    <x v="10"/>
    <x v="0"/>
    <x v="0"/>
    <x v="0"/>
  </r>
  <r>
    <n v="76"/>
    <s v="Gowtham"/>
    <x v="17"/>
    <s v="Koneripatti Market"/>
    <x v="1"/>
    <n v="855"/>
    <n v="0"/>
    <n v="-855"/>
    <n v="0"/>
    <x v="1"/>
    <x v="0"/>
    <x v="0"/>
    <x v="0"/>
  </r>
  <r>
    <n v="77"/>
    <s v="Renuka"/>
    <x v="17"/>
    <s v="Vela Bakery"/>
    <x v="2"/>
    <n v="300"/>
    <n v="0"/>
    <n v="-300"/>
    <n v="0"/>
    <x v="1"/>
    <x v="0"/>
    <x v="0"/>
    <x v="0"/>
  </r>
  <r>
    <n v="78"/>
    <s v="Renuka"/>
    <x v="17"/>
    <s v="Aadhar Registration"/>
    <x v="21"/>
    <n v="150"/>
    <n v="0"/>
    <n v="-150"/>
    <n v="0"/>
    <x v="7"/>
    <x v="0"/>
    <x v="0"/>
    <x v="0"/>
  </r>
  <r>
    <n v="79"/>
    <s v="Gowtham"/>
    <x v="18"/>
    <s v="Snacks"/>
    <x v="2"/>
    <n v="70"/>
    <n v="0"/>
    <n v="-70"/>
    <n v="0"/>
    <x v="1"/>
    <x v="0"/>
    <x v="0"/>
    <x v="0"/>
  </r>
  <r>
    <n v="80"/>
    <s v="Gowtham"/>
    <x v="18"/>
    <s v="Friuts"/>
    <x v="2"/>
    <n v="230"/>
    <n v="0"/>
    <n v="-230"/>
    <n v="0"/>
    <x v="1"/>
    <x v="0"/>
    <x v="0"/>
    <x v="0"/>
  </r>
  <r>
    <n v="81"/>
    <s v="Gowtham"/>
    <x v="18"/>
    <s v="Badam"/>
    <x v="2"/>
    <n v="30"/>
    <n v="0"/>
    <n v="-30"/>
    <n v="0"/>
    <x v="1"/>
    <x v="0"/>
    <x v="0"/>
    <x v="0"/>
  </r>
  <r>
    <n v="82"/>
    <s v="Gowtham"/>
    <x v="18"/>
    <s v="From Palanima"/>
    <x v="10"/>
    <n v="0"/>
    <n v="5000"/>
    <n v="5000"/>
    <n v="0"/>
    <x v="6"/>
    <x v="1"/>
    <x v="0"/>
    <x v="0"/>
  </r>
  <r>
    <n v="83"/>
    <s v="Renuka"/>
    <x v="18"/>
    <s v="Orange"/>
    <x v="2"/>
    <n v="100"/>
    <n v="0"/>
    <n v="-100"/>
    <n v="0"/>
    <x v="1"/>
    <x v="0"/>
    <x v="0"/>
    <x v="0"/>
  </r>
  <r>
    <n v="84"/>
    <s v="Renuka"/>
    <x v="18"/>
    <s v="Vela Bakery"/>
    <x v="2"/>
    <n v="380"/>
    <n v="0"/>
    <n v="-380"/>
    <n v="0"/>
    <x v="1"/>
    <x v="0"/>
    <x v="0"/>
    <x v="0"/>
  </r>
  <r>
    <n v="85"/>
    <s v="Gowtham"/>
    <x v="19"/>
    <s v="Cab"/>
    <x v="5"/>
    <n v="120"/>
    <n v="0"/>
    <n v="-120"/>
    <n v="0"/>
    <x v="0"/>
    <x v="0"/>
    <x v="0"/>
    <x v="0"/>
  </r>
  <r>
    <n v="86"/>
    <s v="Gowtham"/>
    <x v="19"/>
    <s v="Arav Farm"/>
    <x v="1"/>
    <n v="63"/>
    <n v="0"/>
    <n v="-63"/>
    <n v="0"/>
    <x v="1"/>
    <x v="0"/>
    <x v="0"/>
    <x v="0"/>
  </r>
  <r>
    <n v="87"/>
    <s v="Gowtham"/>
    <x v="19"/>
    <s v="BBNL"/>
    <x v="13"/>
    <n v="589"/>
    <n v="0"/>
    <n v="-589"/>
    <n v="0"/>
    <x v="7"/>
    <x v="0"/>
    <x v="0"/>
    <x v="0"/>
  </r>
  <r>
    <n v="88"/>
    <s v="Gowtham"/>
    <x v="19"/>
    <s v="Petrol"/>
    <x v="3"/>
    <n v="500"/>
    <n v="0"/>
    <n v="-500"/>
    <n v="0"/>
    <x v="0"/>
    <x v="0"/>
    <x v="0"/>
    <x v="0"/>
  </r>
  <r>
    <n v="89"/>
    <s v="Renuka"/>
    <x v="19"/>
    <s v="Oil, KPN"/>
    <x v="1"/>
    <n v="1257"/>
    <n v="0"/>
    <n v="-1257"/>
    <n v="0"/>
    <x v="1"/>
    <x v="0"/>
    <x v="0"/>
    <x v="0"/>
  </r>
  <r>
    <n v="90"/>
    <s v="Gowtham"/>
    <x v="20"/>
    <s v="Arav Farm"/>
    <x v="1"/>
    <n v="87"/>
    <n v="0"/>
    <n v="-87"/>
    <n v="0"/>
    <x v="1"/>
    <x v="0"/>
    <x v="0"/>
    <x v="0"/>
  </r>
  <r>
    <n v="91"/>
    <s v="Gowtham"/>
    <x v="20"/>
    <s v="Saravanan Ramasamy"/>
    <x v="1"/>
    <n v="54"/>
    <n v="0"/>
    <n v="-54"/>
    <n v="0"/>
    <x v="1"/>
    <x v="0"/>
    <x v="0"/>
    <x v="0"/>
  </r>
  <r>
    <n v="92"/>
    <s v="Gowtham"/>
    <x v="20"/>
    <s v="Cone"/>
    <x v="22"/>
    <n v="20"/>
    <n v="0"/>
    <n v="-20"/>
    <n v="0"/>
    <x v="1"/>
    <x v="0"/>
    <x v="0"/>
    <x v="0"/>
  </r>
  <r>
    <n v="93"/>
    <s v="Renuka"/>
    <x v="21"/>
    <s v="Electricity"/>
    <x v="19"/>
    <n v="212"/>
    <n v="0"/>
    <n v="-212"/>
    <n v="0"/>
    <x v="9"/>
    <x v="0"/>
    <x v="0"/>
    <x v="0"/>
  </r>
  <r>
    <n v="94"/>
    <s v="Renuka"/>
    <x v="21"/>
    <s v="Thangamayil"/>
    <x v="8"/>
    <n v="5000"/>
    <n v="0"/>
    <n v="-5000"/>
    <n v="0"/>
    <x v="5"/>
    <x v="2"/>
    <x v="0"/>
    <x v="0"/>
  </r>
  <r>
    <n v="95"/>
    <s v="Gowtham"/>
    <x v="22"/>
    <s v="Grocerries"/>
    <x v="1"/>
    <n v="149"/>
    <n v="0"/>
    <n v="-149"/>
    <n v="0"/>
    <x v="1"/>
    <x v="0"/>
    <x v="0"/>
    <x v="0"/>
  </r>
  <r>
    <n v="96"/>
    <s v="Renuka"/>
    <x v="22"/>
    <s v="Chicken"/>
    <x v="1"/>
    <n v="137"/>
    <n v="0"/>
    <n v="-137"/>
    <n v="0"/>
    <x v="1"/>
    <x v="0"/>
    <x v="0"/>
    <x v="0"/>
  </r>
  <r>
    <n v="97"/>
    <s v="Renuka"/>
    <x v="22"/>
    <s v="Ajio"/>
    <x v="14"/>
    <n v="1155"/>
    <n v="0"/>
    <n v="-1155"/>
    <n v="0"/>
    <x v="1"/>
    <x v="0"/>
    <x v="0"/>
    <x v="0"/>
  </r>
  <r>
    <n v="98"/>
    <s v="Gowtham"/>
    <x v="23"/>
    <s v="Pizza"/>
    <x v="2"/>
    <n v="304"/>
    <n v="0"/>
    <n v="-304"/>
    <n v="0"/>
    <x v="1"/>
    <x v="0"/>
    <x v="0"/>
    <x v="0"/>
  </r>
  <r>
    <n v="99"/>
    <s v="Gowtham"/>
    <x v="24"/>
    <s v="Mutton"/>
    <x v="1"/>
    <n v="425"/>
    <n v="0"/>
    <n v="-425"/>
    <n v="0"/>
    <x v="1"/>
    <x v="0"/>
    <x v="0"/>
    <x v="0"/>
  </r>
  <r>
    <n v="100"/>
    <s v="Gowtham"/>
    <x v="24"/>
    <s v="Chicken"/>
    <x v="1"/>
    <n v="135"/>
    <n v="0"/>
    <n v="-135"/>
    <n v="0"/>
    <x v="1"/>
    <x v="0"/>
    <x v="0"/>
    <x v="0"/>
  </r>
  <r>
    <n v="101"/>
    <s v="Gowtham"/>
    <x v="24"/>
    <s v="Milk Bun"/>
    <x v="1"/>
    <n v="82"/>
    <n v="0"/>
    <n v="-82"/>
    <n v="0"/>
    <x v="1"/>
    <x v="0"/>
    <x v="0"/>
    <x v="0"/>
  </r>
  <r>
    <n v="102"/>
    <s v="Renuka"/>
    <x v="24"/>
    <s v="Zepto-Rice"/>
    <x v="1"/>
    <n v="210"/>
    <n v="0"/>
    <n v="-210"/>
    <n v="0"/>
    <x v="1"/>
    <x v="0"/>
    <x v="0"/>
    <x v="0"/>
  </r>
  <r>
    <n v="103"/>
    <s v="Gowtham"/>
    <x v="25"/>
    <s v="Salary"/>
    <x v="6"/>
    <n v="0"/>
    <n v="48134"/>
    <n v="48134"/>
    <n v="0"/>
    <x v="3"/>
    <x v="1"/>
    <x v="0"/>
    <x v="1"/>
  </r>
  <r>
    <n v="104"/>
    <s v="Renuka"/>
    <x v="25"/>
    <s v="Salary"/>
    <x v="9"/>
    <n v="0"/>
    <n v="61720"/>
    <n v="61720"/>
    <n v="0"/>
    <x v="3"/>
    <x v="1"/>
    <x v="0"/>
    <x v="1"/>
  </r>
  <r>
    <n v="105"/>
    <s v="Renuka"/>
    <x v="25"/>
    <s v="To Selvarani"/>
    <x v="12"/>
    <n v="5000"/>
    <n v="0"/>
    <n v="-5000"/>
    <n v="0"/>
    <x v="4"/>
    <x v="0"/>
    <x v="0"/>
    <x v="1"/>
  </r>
  <r>
    <n v="106"/>
    <s v="Renuka"/>
    <x v="25"/>
    <s v="To Parimala"/>
    <x v="11"/>
    <n v="25000"/>
    <n v="0"/>
    <n v="-25000"/>
    <n v="0"/>
    <x v="4"/>
    <x v="0"/>
    <x v="0"/>
    <x v="1"/>
  </r>
  <r>
    <n v="107"/>
    <s v="Renuka"/>
    <x v="25"/>
    <s v="Purifier"/>
    <x v="16"/>
    <n v="5635"/>
    <n v="0"/>
    <n v="-5635"/>
    <n v="0"/>
    <x v="9"/>
    <x v="0"/>
    <x v="0"/>
    <x v="1"/>
  </r>
  <r>
    <n v="108"/>
    <s v="Renuka"/>
    <x v="25"/>
    <s v="Credit Card Bill"/>
    <x v="7"/>
    <n v="14540"/>
    <n v="0"/>
    <n v="-14540"/>
    <n v="0"/>
    <x v="4"/>
    <x v="0"/>
    <x v="0"/>
    <x v="1"/>
  </r>
  <r>
    <n v="109"/>
    <s v="Renuka"/>
    <x v="25"/>
    <s v="Food Processor"/>
    <x v="16"/>
    <n v="3240"/>
    <n v="0"/>
    <n v="-3240"/>
    <n v="0"/>
    <x v="9"/>
    <x v="0"/>
    <x v="0"/>
    <x v="1"/>
  </r>
  <r>
    <n v="110"/>
    <s v="Renuka"/>
    <x v="25"/>
    <s v="Vivo Sharp Fitness"/>
    <x v="23"/>
    <n v="4000"/>
    <n v="0"/>
    <n v="-4000"/>
    <n v="0"/>
    <x v="8"/>
    <x v="0"/>
    <x v="0"/>
    <x v="1"/>
  </r>
  <r>
    <n v="111"/>
    <s v="Renuka"/>
    <x v="25"/>
    <s v="Thalasery Hotel"/>
    <x v="2"/>
    <n v="228"/>
    <n v="0"/>
    <n v="-228"/>
    <n v="0"/>
    <x v="1"/>
    <x v="0"/>
    <x v="0"/>
    <x v="1"/>
  </r>
  <r>
    <n v="112"/>
    <s v="Gowtham"/>
    <x v="26"/>
    <s v="My Jio"/>
    <x v="13"/>
    <n v="666"/>
    <n v="0"/>
    <n v="-666"/>
    <n v="0"/>
    <x v="7"/>
    <x v="0"/>
    <x v="0"/>
    <x v="1"/>
  </r>
  <r>
    <n v="113"/>
    <s v="Gowtham"/>
    <x v="26"/>
    <s v="Amma Jio"/>
    <x v="13"/>
    <n v="666"/>
    <n v="0"/>
    <n v="-666"/>
    <n v="0"/>
    <x v="7"/>
    <x v="0"/>
    <x v="0"/>
    <x v="1"/>
  </r>
  <r>
    <n v="114"/>
    <s v="Gowtham"/>
    <x v="26"/>
    <s v="Arav Farm"/>
    <x v="1"/>
    <n v="13"/>
    <n v="0"/>
    <n v="-13"/>
    <n v="0"/>
    <x v="1"/>
    <x v="0"/>
    <x v="0"/>
    <x v="1"/>
  </r>
  <r>
    <n v="115"/>
    <s v="Renuka"/>
    <x v="26"/>
    <s v="To selvarani"/>
    <x v="24"/>
    <n v="3000"/>
    <n v="0"/>
    <n v="-3000"/>
    <n v="0"/>
    <x v="4"/>
    <x v="0"/>
    <x v="0"/>
    <x v="1"/>
  </r>
  <r>
    <n v="116"/>
    <s v="Renuka"/>
    <x v="26"/>
    <s v="Akki Thirumala Reddy"/>
    <x v="1"/>
    <n v="80"/>
    <n v="0"/>
    <n v="-80"/>
    <n v="0"/>
    <x v="1"/>
    <x v="0"/>
    <x v="0"/>
    <x v="1"/>
  </r>
  <r>
    <n v="117"/>
    <s v="Renuka"/>
    <x v="26"/>
    <s v="KPN Fresh"/>
    <x v="1"/>
    <n v="356"/>
    <n v="0"/>
    <n v="-356"/>
    <n v="0"/>
    <x v="1"/>
    <x v="0"/>
    <x v="0"/>
    <x v="1"/>
  </r>
  <r>
    <n v="118"/>
    <s v="Gowtham"/>
    <x v="27"/>
    <s v="Arav Farm"/>
    <x v="1"/>
    <n v="27"/>
    <n v="0"/>
    <n v="-27"/>
    <n v="0"/>
    <x v="1"/>
    <x v="0"/>
    <x v="0"/>
    <x v="1"/>
  </r>
  <r>
    <n v="119"/>
    <s v="Renuka"/>
    <x v="28"/>
    <s v="Netflix"/>
    <x v="25"/>
    <n v="199"/>
    <n v="0"/>
    <n v="-199"/>
    <n v="0"/>
    <x v="7"/>
    <x v="0"/>
    <x v="0"/>
    <x v="1"/>
  </r>
  <r>
    <n v="120"/>
    <s v="Gowtham"/>
    <x v="29"/>
    <s v="KPN Fresh"/>
    <x v="1"/>
    <n v="1852"/>
    <n v="0"/>
    <n v="-1852"/>
    <n v="0"/>
    <x v="1"/>
    <x v="0"/>
    <x v="0"/>
    <x v="1"/>
  </r>
  <r>
    <n v="121"/>
    <s v="Gowtham"/>
    <x v="29"/>
    <s v="Fish"/>
    <x v="1"/>
    <n v="319"/>
    <n v="0"/>
    <n v="-319"/>
    <n v="0"/>
    <x v="1"/>
    <x v="0"/>
    <x v="0"/>
    <x v="1"/>
  </r>
  <r>
    <n v="122"/>
    <s v="Gowtham"/>
    <x v="29"/>
    <s v="Chicken"/>
    <x v="1"/>
    <n v="150"/>
    <n v="0"/>
    <n v="-150"/>
    <n v="0"/>
    <x v="1"/>
    <x v="0"/>
    <x v="0"/>
    <x v="1"/>
  </r>
  <r>
    <n v="123"/>
    <s v="Gowtham"/>
    <x v="29"/>
    <s v="Haircut"/>
    <x v="26"/>
    <n v="180"/>
    <n v="0"/>
    <n v="-180"/>
    <n v="0"/>
    <x v="1"/>
    <x v="0"/>
    <x v="0"/>
    <x v="1"/>
  </r>
  <r>
    <n v="124"/>
    <s v="Gowtham"/>
    <x v="29"/>
    <s v="Sandwich"/>
    <x v="2"/>
    <n v="270"/>
    <n v="0"/>
    <n v="-270"/>
    <n v="0"/>
    <x v="1"/>
    <x v="0"/>
    <x v="0"/>
    <x v="1"/>
  </r>
  <r>
    <n v="125"/>
    <s v="Renuka"/>
    <x v="29"/>
    <s v="Petrol"/>
    <x v="3"/>
    <n v="200"/>
    <n v="0"/>
    <n v="-200"/>
    <n v="0"/>
    <x v="0"/>
    <x v="0"/>
    <x v="0"/>
    <x v="1"/>
  </r>
  <r>
    <n v="126"/>
    <s v="Renuka"/>
    <x v="29"/>
    <s v="Renu Haircut"/>
    <x v="26"/>
    <n v="550"/>
    <n v="0"/>
    <n v="-550"/>
    <n v="0"/>
    <x v="1"/>
    <x v="0"/>
    <x v="0"/>
    <x v="1"/>
  </r>
  <r>
    <n v="127"/>
    <s v="Renuka"/>
    <x v="29"/>
    <s v="Saving Box"/>
    <x v="8"/>
    <n v="2000"/>
    <n v="0"/>
    <n v="-2000"/>
    <n v="0"/>
    <x v="5"/>
    <x v="2"/>
    <x v="0"/>
    <x v="1"/>
  </r>
  <r>
    <n v="128"/>
    <s v="Renuka"/>
    <x v="29"/>
    <s v="Puliyur Ticket"/>
    <x v="5"/>
    <n v="1860"/>
    <n v="0"/>
    <n v="-1860"/>
    <n v="0"/>
    <x v="0"/>
    <x v="0"/>
    <x v="0"/>
    <x v="1"/>
  </r>
  <r>
    <n v="129"/>
    <s v="Gowtham"/>
    <x v="30"/>
    <s v="Grocerries"/>
    <x v="1"/>
    <n v="50"/>
    <n v="0"/>
    <n v="-50"/>
    <n v="0"/>
    <x v="1"/>
    <x v="0"/>
    <x v="0"/>
    <x v="1"/>
  </r>
  <r>
    <n v="130"/>
    <s v="Gowtham"/>
    <x v="30"/>
    <s v="Egg"/>
    <x v="1"/>
    <n v="90"/>
    <n v="0"/>
    <n v="-90"/>
    <n v="0"/>
    <x v="1"/>
    <x v="0"/>
    <x v="0"/>
    <x v="1"/>
  </r>
  <r>
    <n v="131"/>
    <s v="Renuka"/>
    <x v="30"/>
    <s v="Zepto"/>
    <x v="1"/>
    <n v="190"/>
    <n v="0"/>
    <n v="-190"/>
    <n v="0"/>
    <x v="1"/>
    <x v="0"/>
    <x v="0"/>
    <x v="1"/>
  </r>
  <r>
    <n v="132"/>
    <s v="Gowtham"/>
    <x v="31"/>
    <s v="Pineapple"/>
    <x v="1"/>
    <n v="90"/>
    <n v="0"/>
    <n v="-90"/>
    <n v="0"/>
    <x v="1"/>
    <x v="0"/>
    <x v="0"/>
    <x v="1"/>
  </r>
  <r>
    <n v="133"/>
    <s v="Gowtham"/>
    <x v="31"/>
    <s v="Millets&amp; Pulses"/>
    <x v="1"/>
    <n v="200"/>
    <n v="0"/>
    <n v="-200"/>
    <n v="0"/>
    <x v="1"/>
    <x v="0"/>
    <x v="0"/>
    <x v="1"/>
  </r>
  <r>
    <n v="134"/>
    <s v="Gowtham"/>
    <x v="31"/>
    <s v="Annual Maintenance Fee"/>
    <x v="7"/>
    <n v="199"/>
    <n v="0"/>
    <n v="-199"/>
    <n v="0"/>
    <x v="4"/>
    <x v="0"/>
    <x v="0"/>
    <x v="1"/>
  </r>
  <r>
    <n v="135"/>
    <s v="Gowtham"/>
    <x v="32"/>
    <s v="Puliyur_wifi"/>
    <x v="13"/>
    <n v="352.82"/>
    <n v="0"/>
    <n v="-352.82"/>
    <n v="0"/>
    <x v="7"/>
    <x v="0"/>
    <x v="0"/>
    <x v="1"/>
  </r>
  <r>
    <n v="136"/>
    <s v="Gowtham"/>
    <x v="32"/>
    <s v="House rent"/>
    <x v="17"/>
    <n v="15500"/>
    <n v="0"/>
    <n v="-15500"/>
    <n v="0"/>
    <x v="9"/>
    <x v="0"/>
    <x v="0"/>
    <x v="1"/>
  </r>
  <r>
    <n v="137"/>
    <s v="Gowtham"/>
    <x v="32"/>
    <s v="EB Bill"/>
    <x v="19"/>
    <n v="837"/>
    <n v="0"/>
    <n v="-837"/>
    <n v="0"/>
    <x v="9"/>
    <x v="0"/>
    <x v="0"/>
    <x v="1"/>
  </r>
  <r>
    <n v="138"/>
    <s v="Gowtham"/>
    <x v="32"/>
    <s v="Water Bill"/>
    <x v="18"/>
    <n v="250"/>
    <n v="0"/>
    <n v="-250"/>
    <n v="0"/>
    <x v="9"/>
    <x v="0"/>
    <x v="0"/>
    <x v="1"/>
  </r>
  <r>
    <n v="139"/>
    <s v="Gowtham"/>
    <x v="33"/>
    <s v="Clothes, Slipper"/>
    <x v="14"/>
    <n v="921"/>
    <n v="0"/>
    <n v="-921"/>
    <n v="0"/>
    <x v="1"/>
    <x v="0"/>
    <x v="0"/>
    <x v="1"/>
  </r>
  <r>
    <n v="140"/>
    <s v="Gowtham"/>
    <x v="33"/>
    <s v="BG to Santhi Nagar"/>
    <x v="5"/>
    <n v="420"/>
    <n v="0"/>
    <n v="-420"/>
    <n v="0"/>
    <x v="0"/>
    <x v="0"/>
    <x v="0"/>
    <x v="1"/>
  </r>
  <r>
    <n v="141"/>
    <s v="Gowtham"/>
    <x v="33"/>
    <s v="Petrol"/>
    <x v="3"/>
    <n v="200"/>
    <n v="0"/>
    <n v="-200"/>
    <n v="0"/>
    <x v="0"/>
    <x v="0"/>
    <x v="0"/>
    <x v="1"/>
  </r>
  <r>
    <n v="142"/>
    <s v="Gowtham"/>
    <x v="34"/>
    <s v="Flower"/>
    <x v="22"/>
    <n v="50"/>
    <n v="0"/>
    <n v="-50"/>
    <n v="0"/>
    <x v="1"/>
    <x v="0"/>
    <x v="0"/>
    <x v="1"/>
  </r>
  <r>
    <n v="143"/>
    <s v="Gowtham"/>
    <x v="35"/>
    <s v="Tea"/>
    <x v="2"/>
    <n v="25"/>
    <n v="0"/>
    <n v="-25"/>
    <n v="0"/>
    <x v="1"/>
    <x v="0"/>
    <x v="0"/>
    <x v="1"/>
  </r>
  <r>
    <n v="144"/>
    <s v="Gowtham"/>
    <x v="35"/>
    <s v="Thangamayil - Diamond Bracelet"/>
    <x v="8"/>
    <n v="37500"/>
    <n v="0"/>
    <n v="-37500"/>
    <n v="0"/>
    <x v="5"/>
    <x v="2"/>
    <x v="0"/>
    <x v="1"/>
  </r>
  <r>
    <n v="145"/>
    <s v="Gowtham"/>
    <x v="36"/>
    <s v="Kovil, Pooja"/>
    <x v="27"/>
    <n v="370"/>
    <n v="0"/>
    <n v="-370"/>
    <n v="0"/>
    <x v="11"/>
    <x v="0"/>
    <x v="0"/>
    <x v="1"/>
  </r>
  <r>
    <n v="146"/>
    <s v="Renuka"/>
    <x v="36"/>
    <s v="Petrol"/>
    <x v="3"/>
    <n v="150"/>
    <n v="0"/>
    <n v="-150"/>
    <n v="0"/>
    <x v="0"/>
    <x v="0"/>
    <x v="0"/>
    <x v="1"/>
  </r>
  <r>
    <n v="147"/>
    <s v="Renuka"/>
    <x v="36"/>
    <s v="xerox"/>
    <x v="28"/>
    <n v="20"/>
    <n v="0"/>
    <n v="-20"/>
    <n v="0"/>
    <x v="8"/>
    <x v="0"/>
    <x v="0"/>
    <x v="1"/>
  </r>
  <r>
    <n v="148"/>
    <s v="Renuka"/>
    <x v="36"/>
    <s v="Chiili Chicken"/>
    <x v="2"/>
    <n v="100"/>
    <n v="0"/>
    <n v="-100"/>
    <n v="0"/>
    <x v="1"/>
    <x v="0"/>
    <x v="0"/>
    <x v="1"/>
  </r>
  <r>
    <n v="149"/>
    <s v="Renuka"/>
    <x v="36"/>
    <s v="Valikandapuram-Sandhai"/>
    <x v="1"/>
    <n v="450"/>
    <n v="0"/>
    <n v="-450"/>
    <n v="0"/>
    <x v="1"/>
    <x v="0"/>
    <x v="0"/>
    <x v="1"/>
  </r>
  <r>
    <n v="150"/>
    <s v="Renuka"/>
    <x v="36"/>
    <s v="From Selvarani"/>
    <x v="10"/>
    <n v="0"/>
    <n v="1000"/>
    <n v="1000"/>
    <n v="0"/>
    <x v="6"/>
    <x v="1"/>
    <x v="0"/>
    <x v="1"/>
  </r>
  <r>
    <n v="151"/>
    <s v="Gowtham"/>
    <x v="37"/>
    <s v="Rapido to COGI"/>
    <x v="5"/>
    <n v="76"/>
    <n v="0"/>
    <n v="-76"/>
    <n v="0"/>
    <x v="0"/>
    <x v="0"/>
    <x v="0"/>
    <x v="1"/>
  </r>
  <r>
    <n v="152"/>
    <s v="Renuka"/>
    <x v="37"/>
    <s v="Cab, Santhi Nagar to Home"/>
    <x v="5"/>
    <n v="400"/>
    <n v="0"/>
    <n v="-400"/>
    <n v="0"/>
    <x v="0"/>
    <x v="0"/>
    <x v="0"/>
    <x v="1"/>
  </r>
  <r>
    <n v="153"/>
    <s v="Gowtham"/>
    <x v="38"/>
    <s v="Onion"/>
    <x v="1"/>
    <n v="51"/>
    <n v="0"/>
    <n v="-51"/>
    <n v="0"/>
    <x v="1"/>
    <x v="0"/>
    <x v="0"/>
    <x v="1"/>
  </r>
  <r>
    <n v="154"/>
    <s v="Gowtham"/>
    <x v="38"/>
    <s v="Cake"/>
    <x v="2"/>
    <n v="50"/>
    <n v="0"/>
    <n v="-50"/>
    <n v="0"/>
    <x v="1"/>
    <x v="0"/>
    <x v="0"/>
    <x v="1"/>
  </r>
  <r>
    <n v="155"/>
    <s v="Renuka"/>
    <x v="38"/>
    <s v="KFC"/>
    <x v="2"/>
    <n v="606"/>
    <n v="0"/>
    <n v="-606"/>
    <n v="0"/>
    <x v="1"/>
    <x v="0"/>
    <x v="0"/>
    <x v="1"/>
  </r>
  <r>
    <n v="156"/>
    <s v="Gowtham"/>
    <x v="39"/>
    <s v="Grocerries"/>
    <x v="1"/>
    <n v="20"/>
    <n v="0"/>
    <n v="-20"/>
    <n v="0"/>
    <x v="1"/>
    <x v="0"/>
    <x v="0"/>
    <x v="1"/>
  </r>
  <r>
    <n v="157"/>
    <s v="Gowtham"/>
    <x v="40"/>
    <s v="Petrol"/>
    <x v="3"/>
    <n v="200"/>
    <n v="0"/>
    <n v="-200"/>
    <n v="0"/>
    <x v="0"/>
    <x v="0"/>
    <x v="0"/>
    <x v="1"/>
  </r>
  <r>
    <n v="158"/>
    <s v="Gowtham"/>
    <x v="40"/>
    <s v="Roll"/>
    <x v="2"/>
    <n v="120"/>
    <n v="0"/>
    <n v="-120"/>
    <n v="0"/>
    <x v="1"/>
    <x v="0"/>
    <x v="0"/>
    <x v="1"/>
  </r>
  <r>
    <n v="159"/>
    <s v="Renuka"/>
    <x v="40"/>
    <s v="Grocerries"/>
    <x v="1"/>
    <n v="33"/>
    <n v="0"/>
    <n v="-33"/>
    <n v="0"/>
    <x v="1"/>
    <x v="0"/>
    <x v="0"/>
    <x v="1"/>
  </r>
  <r>
    <n v="160"/>
    <s v="Renuka"/>
    <x v="41"/>
    <s v="Prawn"/>
    <x v="1"/>
    <n v="300"/>
    <n v="0"/>
    <n v="-300"/>
    <n v="0"/>
    <x v="1"/>
    <x v="0"/>
    <x v="0"/>
    <x v="1"/>
  </r>
  <r>
    <n v="161"/>
    <s v="Gowtham"/>
    <x v="42"/>
    <s v="Chicken"/>
    <x v="1"/>
    <n v="145"/>
    <n v="0"/>
    <n v="-145"/>
    <n v="0"/>
    <x v="1"/>
    <x v="0"/>
    <x v="0"/>
    <x v="1"/>
  </r>
  <r>
    <n v="162"/>
    <s v="Renuka"/>
    <x v="42"/>
    <s v="Basmathi Rice"/>
    <x v="1"/>
    <n v="146"/>
    <n v="0"/>
    <n v="-146"/>
    <n v="0"/>
    <x v="1"/>
    <x v="0"/>
    <x v="0"/>
    <x v="1"/>
  </r>
  <r>
    <n v="163"/>
    <s v="Renuka"/>
    <x v="42"/>
    <s v="IRCTC BG to Tirunelveli"/>
    <x v="5"/>
    <n v="702"/>
    <n v="0"/>
    <n v="-702"/>
    <n v="0"/>
    <x v="0"/>
    <x v="0"/>
    <x v="0"/>
    <x v="1"/>
  </r>
  <r>
    <n v="164"/>
    <s v="Renuka"/>
    <x v="42"/>
    <s v="IRCTC Turicorin to BG"/>
    <x v="5"/>
    <n v="752"/>
    <n v="0"/>
    <n v="-752"/>
    <n v="0"/>
    <x v="0"/>
    <x v="0"/>
    <x v="0"/>
    <x v="1"/>
  </r>
  <r>
    <n v="165"/>
    <s v="Renuka"/>
    <x v="43"/>
    <s v="Biriyani"/>
    <x v="2"/>
    <n v="289"/>
    <n v="0"/>
    <n v="-289"/>
    <n v="0"/>
    <x v="1"/>
    <x v="0"/>
    <x v="0"/>
    <x v="1"/>
  </r>
  <r>
    <n v="166"/>
    <s v="Gowtham"/>
    <x v="44"/>
    <s v="Tea"/>
    <x v="2"/>
    <n v="40"/>
    <n v="0"/>
    <n v="-40"/>
    <n v="0"/>
    <x v="1"/>
    <x v="0"/>
    <x v="0"/>
    <x v="1"/>
  </r>
  <r>
    <n v="167"/>
    <s v="Gowtham"/>
    <x v="45"/>
    <s v="BBNL"/>
    <x v="13"/>
    <n v="589"/>
    <n v="0"/>
    <n v="-589"/>
    <n v="0"/>
    <x v="7"/>
    <x v="0"/>
    <x v="0"/>
    <x v="1"/>
  </r>
  <r>
    <n v="168"/>
    <s v="Gowtham"/>
    <x v="45"/>
    <s v="Grill Chicken"/>
    <x v="2"/>
    <n v="244"/>
    <n v="0"/>
    <n v="-244"/>
    <n v="0"/>
    <x v="1"/>
    <x v="0"/>
    <x v="0"/>
    <x v="1"/>
  </r>
  <r>
    <n v="169"/>
    <s v="Gowtham"/>
    <x v="45"/>
    <s v="Arav Farm"/>
    <x v="1"/>
    <n v="40"/>
    <n v="0"/>
    <n v="-40"/>
    <n v="0"/>
    <x v="1"/>
    <x v="0"/>
    <x v="0"/>
    <x v="1"/>
  </r>
  <r>
    <n v="170"/>
    <s v="Gowtham"/>
    <x v="46"/>
    <s v="Fuel"/>
    <x v="3"/>
    <n v="200"/>
    <n v="0"/>
    <n v="-200"/>
    <n v="0"/>
    <x v="0"/>
    <x v="0"/>
    <x v="0"/>
    <x v="1"/>
  </r>
  <r>
    <n v="171"/>
    <s v="Gowtham"/>
    <x v="46"/>
    <s v="Eating Out "/>
    <x v="2"/>
    <n v="190"/>
    <n v="0"/>
    <n v="-190"/>
    <n v="0"/>
    <x v="1"/>
    <x v="0"/>
    <x v="0"/>
    <x v="1"/>
  </r>
  <r>
    <n v="172"/>
    <s v="Gowtham"/>
    <x v="46"/>
    <s v="Fruits"/>
    <x v="1"/>
    <n v="90"/>
    <n v="0"/>
    <n v="-90"/>
    <n v="0"/>
    <x v="1"/>
    <x v="0"/>
    <x v="0"/>
    <x v="1"/>
  </r>
  <r>
    <n v="173"/>
    <s v="Renuka"/>
    <x v="46"/>
    <s v="Chicken"/>
    <x v="1"/>
    <n v="310"/>
    <n v="0"/>
    <n v="-310"/>
    <n v="0"/>
    <x v="1"/>
    <x v="0"/>
    <x v="0"/>
    <x v="1"/>
  </r>
  <r>
    <n v="174"/>
    <s v="Renuka"/>
    <x v="46"/>
    <s v="Curd"/>
    <x v="1"/>
    <n v="13"/>
    <n v="0"/>
    <n v="-13"/>
    <n v="0"/>
    <x v="1"/>
    <x v="0"/>
    <x v="0"/>
    <x v="1"/>
  </r>
  <r>
    <n v="175"/>
    <s v="Renuka"/>
    <x v="46"/>
    <s v="Zepto-Oats, choclate cake"/>
    <x v="1"/>
    <n v="277"/>
    <n v="0"/>
    <n v="-277"/>
    <n v="0"/>
    <x v="1"/>
    <x v="0"/>
    <x v="0"/>
    <x v="1"/>
  </r>
  <r>
    <n v="176"/>
    <s v="Renuka"/>
    <x v="46"/>
    <s v="Onion"/>
    <x v="1"/>
    <n v="100"/>
    <n v="0"/>
    <n v="-100"/>
    <n v="0"/>
    <x v="1"/>
    <x v="0"/>
    <x v="0"/>
    <x v="1"/>
  </r>
  <r>
    <n v="177"/>
    <s v="Gowtham"/>
    <x v="47"/>
    <s v="Egg, Milk"/>
    <x v="1"/>
    <n v="133"/>
    <n v="0"/>
    <n v="-133"/>
    <n v="0"/>
    <x v="1"/>
    <x v="0"/>
    <x v="0"/>
    <x v="1"/>
  </r>
  <r>
    <n v="178"/>
    <s v="Gowtham"/>
    <x v="47"/>
    <s v="Tomato"/>
    <x v="1"/>
    <n v="89"/>
    <n v="0"/>
    <n v="-89"/>
    <n v="0"/>
    <x v="1"/>
    <x v="0"/>
    <x v="0"/>
    <x v="1"/>
  </r>
  <r>
    <n v="179"/>
    <s v="Gowtham"/>
    <x v="48"/>
    <s v="Market, Yelahanka"/>
    <x v="1"/>
    <n v="834"/>
    <n v="0"/>
    <n v="-834"/>
    <n v="0"/>
    <x v="1"/>
    <x v="0"/>
    <x v="0"/>
    <x v="1"/>
  </r>
  <r>
    <n v="180"/>
    <s v="Gowtham"/>
    <x v="49"/>
    <s v="Coconut Drink"/>
    <x v="2"/>
    <n v="100"/>
    <n v="0"/>
    <n v="-100"/>
    <n v="0"/>
    <x v="1"/>
    <x v="0"/>
    <x v="0"/>
    <x v="1"/>
  </r>
  <r>
    <n v="181"/>
    <s v="Gowtham"/>
    <x v="49"/>
    <s v="Ithihaas"/>
    <x v="2"/>
    <n v="1221"/>
    <n v="0"/>
    <n v="-1221"/>
    <n v="0"/>
    <x v="1"/>
    <x v="0"/>
    <x v="0"/>
    <x v="1"/>
  </r>
  <r>
    <n v="182"/>
    <s v="Gowtham"/>
    <x v="50"/>
    <s v="Petrol"/>
    <x v="3"/>
    <n v="200"/>
    <n v="0"/>
    <n v="-200"/>
    <n v="0"/>
    <x v="0"/>
    <x v="0"/>
    <x v="0"/>
    <x v="1"/>
  </r>
  <r>
    <n v="183"/>
    <s v="Gowtham"/>
    <x v="50"/>
    <s v="Curd"/>
    <x v="1"/>
    <n v="13"/>
    <n v="0"/>
    <n v="-13"/>
    <n v="0"/>
    <x v="1"/>
    <x v="0"/>
    <x v="0"/>
    <x v="1"/>
  </r>
  <r>
    <n v="184"/>
    <s v="Gowtham"/>
    <x v="51"/>
    <s v="Dress Alteration"/>
    <x v="14"/>
    <n v="460"/>
    <n v="0"/>
    <n v="-460"/>
    <n v="0"/>
    <x v="1"/>
    <x v="0"/>
    <x v="0"/>
    <x v="1"/>
  </r>
  <r>
    <n v="185"/>
    <s v="Gowtham"/>
    <x v="52"/>
    <s v="Jai EMI Amnt"/>
    <x v="10"/>
    <n v="0"/>
    <n v="3260"/>
    <n v="3260"/>
    <n v="0"/>
    <x v="6"/>
    <x v="1"/>
    <x v="0"/>
    <x v="1"/>
  </r>
  <r>
    <n v="186"/>
    <s v="Renuka"/>
    <x v="52"/>
    <s v="Tea"/>
    <x v="2"/>
    <n v="30"/>
    <n v="0"/>
    <n v="-30"/>
    <n v="0"/>
    <x v="1"/>
    <x v="0"/>
    <x v="0"/>
    <x v="1"/>
  </r>
  <r>
    <n v="187"/>
    <s v="Gowtham"/>
    <x v="53"/>
    <s v="KSRTC Trichy to BG-Cancelled"/>
    <x v="5"/>
    <n v="286"/>
    <n v="0"/>
    <n v="-286"/>
    <n v="0"/>
    <x v="0"/>
    <x v="0"/>
    <x v="1"/>
    <x v="2"/>
  </r>
  <r>
    <n v="188"/>
    <s v="Gowtham"/>
    <x v="53"/>
    <s v="TNSTC BG to Salem-Cancelled"/>
    <x v="5"/>
    <n v="270"/>
    <n v="0"/>
    <n v="-270"/>
    <n v="0"/>
    <x v="0"/>
    <x v="0"/>
    <x v="1"/>
    <x v="2"/>
  </r>
  <r>
    <n v="189"/>
    <s v="Gowtham"/>
    <x v="53"/>
    <s v="Coconut Drink"/>
    <x v="2"/>
    <n v="120"/>
    <n v="0"/>
    <n v="-120"/>
    <n v="0"/>
    <x v="1"/>
    <x v="0"/>
    <x v="1"/>
    <x v="2"/>
  </r>
  <r>
    <n v="190"/>
    <s v="Renuka"/>
    <x v="53"/>
    <s v="Credit Card Bill"/>
    <x v="7"/>
    <n v="38000"/>
    <n v="0"/>
    <n v="-38000"/>
    <n v="0"/>
    <x v="4"/>
    <x v="0"/>
    <x v="1"/>
    <x v="2"/>
  </r>
  <r>
    <n v="191"/>
    <s v="Renuka"/>
    <x v="53"/>
    <s v="Cake"/>
    <x v="2"/>
    <n v="350"/>
    <n v="0"/>
    <n v="-350"/>
    <n v="0"/>
    <x v="1"/>
    <x v="0"/>
    <x v="1"/>
    <x v="2"/>
  </r>
  <r>
    <n v="192"/>
    <s v="Renuka"/>
    <x v="53"/>
    <s v="Soap, Paste"/>
    <x v="22"/>
    <n v="776"/>
    <n v="0"/>
    <n v="-776"/>
    <n v="0"/>
    <x v="1"/>
    <x v="0"/>
    <x v="1"/>
    <x v="2"/>
  </r>
  <r>
    <n v="193"/>
    <s v="Renuka"/>
    <x v="53"/>
    <s v="Salary"/>
    <x v="9"/>
    <n v="0"/>
    <n v="43720"/>
    <n v="43720"/>
    <n v="0"/>
    <x v="3"/>
    <x v="1"/>
    <x v="1"/>
    <x v="2"/>
  </r>
  <r>
    <n v="194"/>
    <s v="Renuka"/>
    <x v="53"/>
    <s v="SBC to TEN, IRCTC"/>
    <x v="5"/>
    <n v="747"/>
    <n v="0"/>
    <n v="-747"/>
    <n v="0"/>
    <x v="0"/>
    <x v="0"/>
    <x v="1"/>
    <x v="2"/>
  </r>
  <r>
    <n v="195"/>
    <s v="Renuka"/>
    <x v="53"/>
    <s v="Chicken"/>
    <x v="1"/>
    <n v="160"/>
    <n v="0"/>
    <n v="-160"/>
    <n v="0"/>
    <x v="1"/>
    <x v="0"/>
    <x v="1"/>
    <x v="2"/>
  </r>
  <r>
    <n v="196"/>
    <s v="Gowtham"/>
    <x v="54"/>
    <s v="Fruits"/>
    <x v="1"/>
    <n v="225"/>
    <n v="0"/>
    <n v="-225"/>
    <n v="0"/>
    <x v="1"/>
    <x v="0"/>
    <x v="1"/>
    <x v="2"/>
  </r>
  <r>
    <n v="197"/>
    <s v="Gowtham"/>
    <x v="55"/>
    <s v="Fuel"/>
    <x v="3"/>
    <n v="300"/>
    <n v="0"/>
    <n v="-300"/>
    <n v="0"/>
    <x v="0"/>
    <x v="0"/>
    <x v="1"/>
    <x v="2"/>
  </r>
  <r>
    <n v="198"/>
    <s v="Renuka"/>
    <x v="55"/>
    <s v="Tea"/>
    <x v="2"/>
    <n v="20"/>
    <n v="0"/>
    <n v="-20"/>
    <n v="0"/>
    <x v="1"/>
    <x v="0"/>
    <x v="1"/>
    <x v="2"/>
  </r>
  <r>
    <n v="199"/>
    <s v="Gowtham"/>
    <x v="56"/>
    <s v="Toilet"/>
    <x v="5"/>
    <n v="20"/>
    <n v="0"/>
    <n v="-20"/>
    <n v="0"/>
    <x v="0"/>
    <x v="0"/>
    <x v="1"/>
    <x v="2"/>
  </r>
  <r>
    <n v="200"/>
    <s v="Gowtham"/>
    <x v="56"/>
    <s v="SETC BG to Krishnagiri"/>
    <x v="5"/>
    <n v="420"/>
    <n v="0"/>
    <n v="-420"/>
    <n v="0"/>
    <x v="0"/>
    <x v="0"/>
    <x v="1"/>
    <x v="2"/>
  </r>
  <r>
    <n v="201"/>
    <s v="Gowtham"/>
    <x v="56"/>
    <s v="Mrng Breakfast"/>
    <x v="2"/>
    <n v="210"/>
    <n v="0"/>
    <n v="-210"/>
    <n v="0"/>
    <x v="1"/>
    <x v="0"/>
    <x v="1"/>
    <x v="2"/>
  </r>
  <r>
    <n v="202"/>
    <s v="Gowtham"/>
    <x v="56"/>
    <s v="Krishnagiri to Uthangarai"/>
    <x v="5"/>
    <n v="90"/>
    <n v="0"/>
    <n v="-90"/>
    <n v="0"/>
    <x v="0"/>
    <x v="0"/>
    <x v="1"/>
    <x v="2"/>
  </r>
  <r>
    <n v="203"/>
    <s v="Gowtham"/>
    <x v="56"/>
    <s v="Uthangarai to Krishnagiri"/>
    <x v="5"/>
    <n v="100"/>
    <n v="0"/>
    <n v="-100"/>
    <n v="0"/>
    <x v="0"/>
    <x v="0"/>
    <x v="1"/>
    <x v="2"/>
  </r>
  <r>
    <n v="204"/>
    <s v="Gowtham"/>
    <x v="56"/>
    <s v="Bike Praking"/>
    <x v="5"/>
    <n v="50"/>
    <n v="0"/>
    <n v="-50"/>
    <n v="0"/>
    <x v="0"/>
    <x v="0"/>
    <x v="1"/>
    <x v="2"/>
  </r>
  <r>
    <n v="205"/>
    <s v="Renuka"/>
    <x v="56"/>
    <s v="Krishnagiri to BG"/>
    <x v="5"/>
    <n v="220"/>
    <n v="0"/>
    <n v="-220"/>
    <n v="0"/>
    <x v="0"/>
    <x v="0"/>
    <x v="1"/>
    <x v="2"/>
  </r>
  <r>
    <n v="206"/>
    <s v="Renuka"/>
    <x v="56"/>
    <s v="Malabar Foods"/>
    <x v="2"/>
    <n v="316"/>
    <n v="0"/>
    <n v="-316"/>
    <n v="0"/>
    <x v="1"/>
    <x v="0"/>
    <x v="1"/>
    <x v="2"/>
  </r>
  <r>
    <n v="207"/>
    <s v="Gowtham"/>
    <x v="57"/>
    <s v="Cold tablet"/>
    <x v="20"/>
    <n v="45"/>
    <n v="0"/>
    <n v="-45"/>
    <n v="0"/>
    <x v="10"/>
    <x v="0"/>
    <x v="1"/>
    <x v="2"/>
  </r>
  <r>
    <n v="208"/>
    <s v="Gowtham"/>
    <x v="58"/>
    <s v="KPN Fresh"/>
    <x v="1"/>
    <n v="960"/>
    <n v="0"/>
    <n v="-960"/>
    <n v="0"/>
    <x v="1"/>
    <x v="0"/>
    <x v="1"/>
    <x v="2"/>
  </r>
  <r>
    <n v="209"/>
    <s v="Gowtham"/>
    <x v="58"/>
    <s v="Prawn"/>
    <x v="1"/>
    <n v="300"/>
    <n v="0"/>
    <n v="-300"/>
    <n v="0"/>
    <x v="1"/>
    <x v="0"/>
    <x v="1"/>
    <x v="2"/>
  </r>
  <r>
    <n v="210"/>
    <s v="Gowtham"/>
    <x v="58"/>
    <s v="Fruits"/>
    <x v="1"/>
    <n v="210"/>
    <n v="0"/>
    <n v="-210"/>
    <n v="0"/>
    <x v="1"/>
    <x v="0"/>
    <x v="1"/>
    <x v="2"/>
  </r>
  <r>
    <n v="211"/>
    <s v="Renuka"/>
    <x v="58"/>
    <s v="Kollu, Coriander"/>
    <x v="1"/>
    <n v="105"/>
    <n v="0"/>
    <n v="-105"/>
    <n v="0"/>
    <x v="1"/>
    <x v="0"/>
    <x v="1"/>
    <x v="2"/>
  </r>
  <r>
    <n v="212"/>
    <s v="Renuka"/>
    <x v="58"/>
    <s v="Milk"/>
    <x v="1"/>
    <n v="122"/>
    <n v="0"/>
    <n v="-122"/>
    <n v="0"/>
    <x v="1"/>
    <x v="0"/>
    <x v="1"/>
    <x v="2"/>
  </r>
  <r>
    <n v="213"/>
    <s v="Gowtham"/>
    <x v="59"/>
    <s v="Petrol"/>
    <x v="3"/>
    <n v="300"/>
    <n v="0"/>
    <n v="-300"/>
    <n v="0"/>
    <x v="0"/>
    <x v="0"/>
    <x v="1"/>
    <x v="2"/>
  </r>
  <r>
    <n v="214"/>
    <s v="Renuka"/>
    <x v="59"/>
    <s v="IRCTC BG to Tirunelveli-Cancelled"/>
    <x v="5"/>
    <n v="0"/>
    <n v="570"/>
    <n v="570"/>
    <n v="0"/>
    <x v="0"/>
    <x v="0"/>
    <x v="1"/>
    <x v="2"/>
  </r>
  <r>
    <n v="215"/>
    <s v="Renuka"/>
    <x v="59"/>
    <s v="IRCTC Turicorin to BG-Cancelled"/>
    <x v="5"/>
    <n v="0"/>
    <n v="620"/>
    <n v="620"/>
    <n v="0"/>
    <x v="0"/>
    <x v="0"/>
    <x v="1"/>
    <x v="2"/>
  </r>
  <r>
    <n v="216"/>
    <s v="Gowtham"/>
    <x v="60"/>
    <s v="SETC -BG to Perambalur"/>
    <x v="5"/>
    <n v="930"/>
    <n v="0"/>
    <n v="-930"/>
    <n v="0"/>
    <x v="0"/>
    <x v="0"/>
    <x v="1"/>
    <x v="2"/>
  </r>
  <r>
    <n v="217"/>
    <s v="Gowtham"/>
    <x v="60"/>
    <s v="SETC -Perambalur to  BG"/>
    <x v="5"/>
    <n v="930"/>
    <n v="0"/>
    <n v="-930"/>
    <n v="0"/>
    <x v="0"/>
    <x v="0"/>
    <x v="1"/>
    <x v="2"/>
  </r>
  <r>
    <n v="218"/>
    <s v="Gowtham"/>
    <x v="60"/>
    <s v="KFC"/>
    <x v="2"/>
    <n v="762.3"/>
    <n v="0"/>
    <n v="-762.3"/>
    <n v="0"/>
    <x v="1"/>
    <x v="0"/>
    <x v="1"/>
    <x v="2"/>
  </r>
  <r>
    <n v="219"/>
    <s v="Gowtham"/>
    <x v="60"/>
    <s v="To Fighter"/>
    <x v="24"/>
    <n v="2000"/>
    <n v="0"/>
    <n v="-2000"/>
    <n v="0"/>
    <x v="4"/>
    <x v="0"/>
    <x v="1"/>
    <x v="2"/>
  </r>
  <r>
    <n v="220"/>
    <s v="Gowtham"/>
    <x v="60"/>
    <s v="Salary"/>
    <x v="6"/>
    <n v="0"/>
    <n v="48187"/>
    <n v="48187"/>
    <n v="0"/>
    <x v="3"/>
    <x v="1"/>
    <x v="1"/>
    <x v="2"/>
  </r>
  <r>
    <n v="221"/>
    <s v="Renuka"/>
    <x v="60"/>
    <s v="Zepto-Weight Machine"/>
    <x v="16"/>
    <n v="469"/>
    <n v="0"/>
    <n v="-469"/>
    <n v="0"/>
    <x v="9"/>
    <x v="0"/>
    <x v="1"/>
    <x v="2"/>
  </r>
  <r>
    <n v="222"/>
    <s v="Gowtham"/>
    <x v="61"/>
    <s v="Arav  Farms"/>
    <x v="1"/>
    <n v="147"/>
    <n v="0"/>
    <n v="-147"/>
    <n v="0"/>
    <x v="1"/>
    <x v="0"/>
    <x v="1"/>
    <x v="2"/>
  </r>
  <r>
    <n v="223"/>
    <s v="Gowtham"/>
    <x v="61"/>
    <s v="Wifi-Selvarani"/>
    <x v="13"/>
    <n v="353"/>
    <n v="0"/>
    <n v="-353"/>
    <n v="0"/>
    <x v="7"/>
    <x v="0"/>
    <x v="1"/>
    <x v="2"/>
  </r>
  <r>
    <n v="224"/>
    <s v="Gowtham"/>
    <x v="62"/>
    <s v="Fruits-Pappaya"/>
    <x v="1"/>
    <n v="50"/>
    <n v="0"/>
    <n v="-50"/>
    <n v="0"/>
    <x v="1"/>
    <x v="0"/>
    <x v="1"/>
    <x v="2"/>
  </r>
  <r>
    <n v="225"/>
    <s v="Gowtham"/>
    <x v="62"/>
    <s v="Coconut Drink"/>
    <x v="2"/>
    <n v="100"/>
    <n v="0"/>
    <n v="-100"/>
    <n v="0"/>
    <x v="1"/>
    <x v="0"/>
    <x v="1"/>
    <x v="2"/>
  </r>
  <r>
    <n v="226"/>
    <s v="Gowtham"/>
    <x v="62"/>
    <s v="Clip, Kerchief"/>
    <x v="26"/>
    <n v="150"/>
    <n v="0"/>
    <n v="-150"/>
    <n v="0"/>
    <x v="1"/>
    <x v="0"/>
    <x v="1"/>
    <x v="2"/>
  </r>
  <r>
    <n v="227"/>
    <s v="Gowtham"/>
    <x v="62"/>
    <s v="Renu -Dress"/>
    <x v="14"/>
    <n v="600"/>
    <n v="0"/>
    <n v="-600"/>
    <n v="0"/>
    <x v="1"/>
    <x v="0"/>
    <x v="1"/>
    <x v="2"/>
  </r>
  <r>
    <n v="228"/>
    <s v="Gowtham"/>
    <x v="62"/>
    <s v="To Parimalam"/>
    <x v="11"/>
    <n v="5000"/>
    <n v="0"/>
    <n v="-5000"/>
    <n v="0"/>
    <x v="4"/>
    <x v="0"/>
    <x v="1"/>
    <x v="2"/>
  </r>
  <r>
    <n v="229"/>
    <s v="Gowtham"/>
    <x v="62"/>
    <s v="Saree"/>
    <x v="14"/>
    <n v="600"/>
    <n v="0"/>
    <n v="-600"/>
    <n v="0"/>
    <x v="1"/>
    <x v="0"/>
    <x v="1"/>
    <x v="2"/>
  </r>
  <r>
    <n v="230"/>
    <s v="Gowtham"/>
    <x v="62"/>
    <s v="Dinner"/>
    <x v="2"/>
    <n v="400"/>
    <n v="0"/>
    <n v="-400"/>
    <n v="0"/>
    <x v="1"/>
    <x v="0"/>
    <x v="1"/>
    <x v="2"/>
  </r>
  <r>
    <n v="231"/>
    <s v="Gowtham"/>
    <x v="62"/>
    <s v="Home Rent"/>
    <x v="17"/>
    <n v="16000"/>
    <n v="0"/>
    <n v="-16000"/>
    <n v="0"/>
    <x v="9"/>
    <x v="0"/>
    <x v="1"/>
    <x v="2"/>
  </r>
  <r>
    <n v="232"/>
    <s v="Gowtham"/>
    <x v="63"/>
    <s v="Chicken"/>
    <x v="1"/>
    <n v="135"/>
    <n v="0"/>
    <n v="-135"/>
    <n v="0"/>
    <x v="1"/>
    <x v="0"/>
    <x v="1"/>
    <x v="2"/>
  </r>
  <r>
    <n v="233"/>
    <s v="Gowtham"/>
    <x v="63"/>
    <s v="Snacks"/>
    <x v="2"/>
    <n v="217"/>
    <n v="0"/>
    <n v="-217"/>
    <n v="0"/>
    <x v="1"/>
    <x v="0"/>
    <x v="1"/>
    <x v="2"/>
  </r>
  <r>
    <n v="234"/>
    <s v="Renuka"/>
    <x v="63"/>
    <s v="Mall Parking"/>
    <x v="5"/>
    <n v="30"/>
    <n v="0"/>
    <n v="-30"/>
    <n v="0"/>
    <x v="0"/>
    <x v="0"/>
    <x v="1"/>
    <x v="2"/>
  </r>
  <r>
    <n v="235"/>
    <s v="Gowtham"/>
    <x v="64"/>
    <s v="Bindhi"/>
    <x v="26"/>
    <n v="40"/>
    <n v="0"/>
    <n v="-40"/>
    <n v="0"/>
    <x v="1"/>
    <x v="0"/>
    <x v="1"/>
    <x v="2"/>
  </r>
  <r>
    <n v="236"/>
    <s v="Gowtham"/>
    <x v="64"/>
    <s v="Oil Jar, Flipkart"/>
    <x v="16"/>
    <n v="1474"/>
    <n v="0"/>
    <n v="-1474"/>
    <n v="0"/>
    <x v="9"/>
    <x v="0"/>
    <x v="1"/>
    <x v="2"/>
  </r>
  <r>
    <n v="237"/>
    <s v="Gowtham"/>
    <x v="64"/>
    <s v="Redbus: Bhavani to BG"/>
    <x v="5"/>
    <n v="2888"/>
    <n v="0"/>
    <n v="-2888"/>
    <n v="0"/>
    <x v="0"/>
    <x v="0"/>
    <x v="1"/>
    <x v="2"/>
  </r>
  <r>
    <n v="238"/>
    <s v="Renuka"/>
    <x v="64"/>
    <s v="Threading"/>
    <x v="26"/>
    <n v="50"/>
    <n v="0"/>
    <n v="-50"/>
    <n v="0"/>
    <x v="1"/>
    <x v="0"/>
    <x v="1"/>
    <x v="2"/>
  </r>
  <r>
    <n v="239"/>
    <s v="Renuka"/>
    <x v="64"/>
    <s v="Paani Poori"/>
    <x v="2"/>
    <n v="80"/>
    <n v="0"/>
    <n v="-80"/>
    <n v="0"/>
    <x v="1"/>
    <x v="0"/>
    <x v="1"/>
    <x v="2"/>
  </r>
  <r>
    <n v="240"/>
    <s v="Gowtham"/>
    <x v="65"/>
    <s v="Ajio, Jacket"/>
    <x v="14"/>
    <n v="816"/>
    <n v="0"/>
    <n v="-816"/>
    <n v="0"/>
    <x v="1"/>
    <x v="0"/>
    <x v="1"/>
    <x v="2"/>
  </r>
  <r>
    <n v="241"/>
    <s v="Gowtham"/>
    <x v="66"/>
    <s v="Redbus: BG to Bhavani"/>
    <x v="5"/>
    <n v="1418"/>
    <n v="0"/>
    <n v="-1418"/>
    <n v="0"/>
    <x v="0"/>
    <x v="0"/>
    <x v="1"/>
    <x v="2"/>
  </r>
  <r>
    <n v="242"/>
    <s v="Gowtham"/>
    <x v="66"/>
    <s v="Rapido"/>
    <x v="5"/>
    <n v="320"/>
    <n v="0"/>
    <n v="-320"/>
    <n v="0"/>
    <x v="0"/>
    <x v="0"/>
    <x v="1"/>
    <x v="2"/>
  </r>
  <r>
    <n v="243"/>
    <s v="Gowtham"/>
    <x v="66"/>
    <s v="Tea"/>
    <x v="2"/>
    <n v="15"/>
    <n v="0"/>
    <n v="-15"/>
    <n v="0"/>
    <x v="1"/>
    <x v="0"/>
    <x v="1"/>
    <x v="2"/>
  </r>
  <r>
    <n v="244"/>
    <s v="Gowtham"/>
    <x v="67"/>
    <s v="Murugan Stores"/>
    <x v="1"/>
    <n v="323"/>
    <n v="0"/>
    <n v="-323"/>
    <n v="0"/>
    <x v="1"/>
    <x v="0"/>
    <x v="1"/>
    <x v="2"/>
  </r>
  <r>
    <n v="245"/>
    <s v="Gowtham"/>
    <x v="67"/>
    <s v="Vela Bakery"/>
    <x v="2"/>
    <n v="165"/>
    <n v="0"/>
    <n v="-165"/>
    <n v="0"/>
    <x v="1"/>
    <x v="0"/>
    <x v="1"/>
    <x v="2"/>
  </r>
  <r>
    <n v="246"/>
    <s v="Gowtham"/>
    <x v="67"/>
    <s v="BSNL Recharge to Naveem"/>
    <x v="13"/>
    <n v="157"/>
    <n v="0"/>
    <n v="-157"/>
    <n v="0"/>
    <x v="7"/>
    <x v="0"/>
    <x v="1"/>
    <x v="2"/>
  </r>
  <r>
    <n v="247"/>
    <s v="Gowtham"/>
    <x v="67"/>
    <s v="EB Bill"/>
    <x v="19"/>
    <n v="52"/>
    <n v="0"/>
    <n v="-52"/>
    <n v="0"/>
    <x v="9"/>
    <x v="0"/>
    <x v="1"/>
    <x v="2"/>
  </r>
  <r>
    <n v="248"/>
    <s v="Gowtham"/>
    <x v="68"/>
    <s v="Jio Recharge Data Pack"/>
    <x v="13"/>
    <n v="101"/>
    <n v="0"/>
    <n v="-101"/>
    <n v="0"/>
    <x v="7"/>
    <x v="0"/>
    <x v="1"/>
    <x v="2"/>
  </r>
  <r>
    <n v="249"/>
    <s v="Gowtham"/>
    <x v="68"/>
    <s v="Murugan Stores"/>
    <x v="1"/>
    <n v="95"/>
    <n v="0"/>
    <n v="-95"/>
    <n v="0"/>
    <x v="1"/>
    <x v="0"/>
    <x v="1"/>
    <x v="2"/>
  </r>
  <r>
    <n v="250"/>
    <s v="Gowtham"/>
    <x v="69"/>
    <s v="Fish"/>
    <x v="2"/>
    <n v="170"/>
    <n v="0"/>
    <n v="-170"/>
    <n v="0"/>
    <x v="1"/>
    <x v="0"/>
    <x v="1"/>
    <x v="2"/>
  </r>
  <r>
    <n v="251"/>
    <s v="Gowtham"/>
    <x v="70"/>
    <s v="Fruits Marapannor"/>
    <x v="29"/>
    <n v="300"/>
    <n v="0"/>
    <n v="-300"/>
    <n v="0"/>
    <x v="11"/>
    <x v="0"/>
    <x v="1"/>
    <x v="2"/>
  </r>
  <r>
    <n v="252"/>
    <s v="Gowtham"/>
    <x v="71"/>
    <s v="Milk"/>
    <x v="1"/>
    <n v="20"/>
    <n v="0"/>
    <n v="-20"/>
    <n v="0"/>
    <x v="1"/>
    <x v="0"/>
    <x v="1"/>
    <x v="2"/>
  </r>
  <r>
    <n v="253"/>
    <s v="Gowtham"/>
    <x v="72"/>
    <s v="Chicken"/>
    <x v="1"/>
    <n v="180"/>
    <n v="0"/>
    <n v="-180"/>
    <n v="0"/>
    <x v="1"/>
    <x v="0"/>
    <x v="1"/>
    <x v="2"/>
  </r>
  <r>
    <n v="254"/>
    <s v="Gowtham"/>
    <x v="73"/>
    <s v="Don't Know"/>
    <x v="16"/>
    <n v="300"/>
    <n v="0"/>
    <n v="-300"/>
    <n v="0"/>
    <x v="9"/>
    <x v="0"/>
    <x v="1"/>
    <x v="2"/>
  </r>
  <r>
    <n v="255"/>
    <s v="Gowtham"/>
    <x v="73"/>
    <s v="Biriyani Corner"/>
    <x v="2"/>
    <n v="170"/>
    <n v="0"/>
    <n v="-170"/>
    <n v="0"/>
    <x v="1"/>
    <x v="0"/>
    <x v="1"/>
    <x v="2"/>
  </r>
  <r>
    <n v="256"/>
    <s v="Gowtham"/>
    <x v="73"/>
    <s v="KFC"/>
    <x v="2"/>
    <n v="419"/>
    <n v="0"/>
    <n v="-419"/>
    <n v="0"/>
    <x v="1"/>
    <x v="0"/>
    <x v="1"/>
    <x v="2"/>
  </r>
  <r>
    <n v="257"/>
    <s v="Renuka"/>
    <x v="73"/>
    <s v="Airtel Wifi"/>
    <x v="13"/>
    <n v="1500"/>
    <n v="0"/>
    <n v="-1500"/>
    <n v="0"/>
    <x v="7"/>
    <x v="0"/>
    <x v="1"/>
    <x v="2"/>
  </r>
  <r>
    <n v="258"/>
    <s v="Renuka"/>
    <x v="73"/>
    <s v="SCAM"/>
    <x v="4"/>
    <n v="1500"/>
    <n v="0"/>
    <n v="-1500"/>
    <n v="0"/>
    <x v="2"/>
    <x v="0"/>
    <x v="1"/>
    <x v="2"/>
  </r>
  <r>
    <n v="259"/>
    <s v="Gowtham"/>
    <x v="74"/>
    <s v="Uber"/>
    <x v="5"/>
    <n v="440"/>
    <n v="0"/>
    <n v="-440"/>
    <n v="0"/>
    <x v="0"/>
    <x v="0"/>
    <x v="1"/>
    <x v="2"/>
  </r>
  <r>
    <n v="260"/>
    <s v="Renuka"/>
    <x v="74"/>
    <s v="Tea Snacks"/>
    <x v="2"/>
    <n v="50"/>
    <n v="0"/>
    <n v="-50"/>
    <n v="0"/>
    <x v="1"/>
    <x v="0"/>
    <x v="1"/>
    <x v="2"/>
  </r>
  <r>
    <n v="261"/>
    <s v="Gowtham"/>
    <x v="75"/>
    <s v="Book"/>
    <x v="22"/>
    <n v="267"/>
    <n v="0"/>
    <n v="-267"/>
    <n v="0"/>
    <x v="1"/>
    <x v="0"/>
    <x v="1"/>
    <x v="2"/>
  </r>
  <r>
    <n v="262"/>
    <s v="Renuka"/>
    <x v="75"/>
    <s v="Cake"/>
    <x v="2"/>
    <n v="500"/>
    <n v="0"/>
    <n v="-500"/>
    <n v="0"/>
    <x v="1"/>
    <x v="0"/>
    <x v="1"/>
    <x v="2"/>
  </r>
  <r>
    <n v="263"/>
    <s v="Renuka"/>
    <x v="75"/>
    <s v="Vegetables"/>
    <x v="1"/>
    <n v="500"/>
    <n v="0"/>
    <n v="-500"/>
    <n v="0"/>
    <x v="1"/>
    <x v="0"/>
    <x v="1"/>
    <x v="2"/>
  </r>
  <r>
    <n v="264"/>
    <s v="Renuka"/>
    <x v="75"/>
    <s v="National hypermarket"/>
    <x v="1"/>
    <n v="1000"/>
    <n v="0"/>
    <n v="-1000"/>
    <n v="0"/>
    <x v="1"/>
    <x v="0"/>
    <x v="1"/>
    <x v="2"/>
  </r>
  <r>
    <n v="265"/>
    <s v="Renuka"/>
    <x v="75"/>
    <s v="ATM Withdrawl"/>
    <x v="16"/>
    <n v="1000"/>
    <n v="0"/>
    <n v="-1000"/>
    <n v="0"/>
    <x v="9"/>
    <x v="0"/>
    <x v="1"/>
    <x v="2"/>
  </r>
  <r>
    <n v="266"/>
    <s v="Renuka"/>
    <x v="75"/>
    <s v="ATM Withdrawl"/>
    <x v="5"/>
    <n v="500"/>
    <n v="0"/>
    <n v="-500"/>
    <n v="0"/>
    <x v="0"/>
    <x v="0"/>
    <x v="1"/>
    <x v="2"/>
  </r>
  <r>
    <n v="267"/>
    <s v="Renuka"/>
    <x v="75"/>
    <s v="Tea Snacks"/>
    <x v="2"/>
    <n v="25"/>
    <n v="0"/>
    <n v="-25"/>
    <n v="0"/>
    <x v="1"/>
    <x v="0"/>
    <x v="1"/>
    <x v="2"/>
  </r>
  <r>
    <n v="268"/>
    <s v="Gowtham"/>
    <x v="76"/>
    <s v="Perambalur Shopping"/>
    <x v="16"/>
    <n v="230"/>
    <n v="0"/>
    <n v="-230"/>
    <n v="0"/>
    <x v="9"/>
    <x v="0"/>
    <x v="1"/>
    <x v="2"/>
  </r>
  <r>
    <n v="269"/>
    <s v="Gowtham"/>
    <x v="77"/>
    <s v="Dinner"/>
    <x v="2"/>
    <n v="151"/>
    <n v="0"/>
    <n v="-151"/>
    <n v="0"/>
    <x v="1"/>
    <x v="0"/>
    <x v="1"/>
    <x v="2"/>
  </r>
  <r>
    <n v="270"/>
    <s v="Gowtham"/>
    <x v="77"/>
    <s v="Domino's"/>
    <x v="2"/>
    <n v="490"/>
    <n v="0"/>
    <n v="-490"/>
    <n v="0"/>
    <x v="1"/>
    <x v="0"/>
    <x v="1"/>
    <x v="2"/>
  </r>
  <r>
    <n v="271"/>
    <s v="Gowtham"/>
    <x v="78"/>
    <s v="Milk"/>
    <x v="1"/>
    <n v="55"/>
    <n v="0"/>
    <n v="-55"/>
    <n v="0"/>
    <x v="1"/>
    <x v="0"/>
    <x v="1"/>
    <x v="2"/>
  </r>
  <r>
    <n v="272"/>
    <s v="Gowtham"/>
    <x v="78"/>
    <s v="Uber"/>
    <x v="5"/>
    <n v="430"/>
    <n v="0"/>
    <n v="-430"/>
    <n v="0"/>
    <x v="0"/>
    <x v="0"/>
    <x v="1"/>
    <x v="2"/>
  </r>
  <r>
    <n v="273"/>
    <s v="Gowtham"/>
    <x v="78"/>
    <s v="Renu Recharge"/>
    <x v="13"/>
    <n v="989.7"/>
    <n v="0"/>
    <n v="-989.7"/>
    <n v="0"/>
    <x v="7"/>
    <x v="0"/>
    <x v="1"/>
    <x v="2"/>
  </r>
  <r>
    <n v="274"/>
    <s v="Gowtham"/>
    <x v="78"/>
    <s v="Lunch"/>
    <x v="2"/>
    <n v="519"/>
    <n v="0"/>
    <n v="-519"/>
    <n v="0"/>
    <x v="1"/>
    <x v="0"/>
    <x v="1"/>
    <x v="2"/>
  </r>
  <r>
    <n v="275"/>
    <s v="Gowtham"/>
    <x v="78"/>
    <s v="Chicken"/>
    <x v="1"/>
    <n v="340"/>
    <n v="0"/>
    <n v="-340"/>
    <n v="0"/>
    <x v="1"/>
    <x v="0"/>
    <x v="1"/>
    <x v="2"/>
  </r>
  <r>
    <n v="276"/>
    <s v="Gowtham"/>
    <x v="78"/>
    <s v="Don’t Know"/>
    <x v="16"/>
    <n v="160"/>
    <n v="0"/>
    <n v="-160"/>
    <n v="0"/>
    <x v="9"/>
    <x v="0"/>
    <x v="1"/>
    <x v="2"/>
  </r>
  <r>
    <n v="277"/>
    <s v="Gowtham"/>
    <x v="78"/>
    <s v="Paani Poori"/>
    <x v="2"/>
    <n v="60"/>
    <n v="0"/>
    <n v="-60"/>
    <n v="0"/>
    <x v="1"/>
    <x v="0"/>
    <x v="1"/>
    <x v="2"/>
  </r>
  <r>
    <n v="278"/>
    <s v="Gowtham"/>
    <x v="79"/>
    <s v="Zepto"/>
    <x v="1"/>
    <n v="105"/>
    <n v="0"/>
    <n v="-105"/>
    <n v="0"/>
    <x v="1"/>
    <x v="0"/>
    <x v="1"/>
    <x v="2"/>
  </r>
  <r>
    <n v="279"/>
    <s v="Gowtham"/>
    <x v="80"/>
    <s v="Dinner"/>
    <x v="2"/>
    <n v="195"/>
    <n v="0"/>
    <n v="-195"/>
    <n v="0"/>
    <x v="1"/>
    <x v="0"/>
    <x v="1"/>
    <x v="2"/>
  </r>
  <r>
    <n v="280"/>
    <s v="Gowtham"/>
    <x v="81"/>
    <s v="CC Bill"/>
    <x v="7"/>
    <n v="10496.74"/>
    <n v="0"/>
    <n v="-10496.74"/>
    <n v="0"/>
    <x v="4"/>
    <x v="0"/>
    <x v="1"/>
    <x v="3"/>
  </r>
  <r>
    <n v="281"/>
    <s v="Gowtham"/>
    <x v="81"/>
    <s v="CC Bill"/>
    <x v="7"/>
    <n v="184"/>
    <n v="0"/>
    <n v="-184"/>
    <n v="0"/>
    <x v="4"/>
    <x v="0"/>
    <x v="1"/>
    <x v="3"/>
  </r>
  <r>
    <n v="282"/>
    <s v="Gowtham"/>
    <x v="81"/>
    <s v="CC Bill"/>
    <x v="7"/>
    <n v="1000"/>
    <n v="0"/>
    <n v="-1000"/>
    <n v="0"/>
    <x v="4"/>
    <x v="0"/>
    <x v="1"/>
    <x v="3"/>
  </r>
  <r>
    <n v="283"/>
    <s v="Gowtham"/>
    <x v="81"/>
    <s v="CC Bill"/>
    <x v="7"/>
    <n v="19950"/>
    <n v="0"/>
    <n v="-19950"/>
    <n v="0"/>
    <x v="4"/>
    <x v="0"/>
    <x v="1"/>
    <x v="3"/>
  </r>
  <r>
    <n v="284"/>
    <s v="Renuka"/>
    <x v="81"/>
    <s v="KPN Fresh"/>
    <x v="1"/>
    <n v="1297.7"/>
    <n v="0"/>
    <n v="-1297.7"/>
    <n v="0"/>
    <x v="1"/>
    <x v="0"/>
    <x v="1"/>
    <x v="3"/>
  </r>
  <r>
    <n v="285"/>
    <s v="Renuka"/>
    <x v="81"/>
    <s v="Apollo"/>
    <x v="16"/>
    <n v="482.52"/>
    <n v="0"/>
    <n v="-482.52"/>
    <n v="0"/>
    <x v="9"/>
    <x v="0"/>
    <x v="1"/>
    <x v="3"/>
  </r>
  <r>
    <n v="286"/>
    <s v="Renuka"/>
    <x v="81"/>
    <s v="Biriyani"/>
    <x v="2"/>
    <n v="90"/>
    <n v="0"/>
    <n v="-90"/>
    <n v="0"/>
    <x v="1"/>
    <x v="0"/>
    <x v="1"/>
    <x v="3"/>
  </r>
  <r>
    <n v="287"/>
    <s v="Renuka"/>
    <x v="81"/>
    <s v="Watermelon"/>
    <x v="1"/>
    <n v="90"/>
    <n v="0"/>
    <n v="-90"/>
    <n v="0"/>
    <x v="1"/>
    <x v="0"/>
    <x v="1"/>
    <x v="3"/>
  </r>
  <r>
    <n v="288"/>
    <s v="Renuka"/>
    <x v="81"/>
    <s v="Coconut Drink"/>
    <x v="2"/>
    <n v="100"/>
    <n v="0"/>
    <n v="-100"/>
    <n v="0"/>
    <x v="1"/>
    <x v="0"/>
    <x v="1"/>
    <x v="3"/>
  </r>
  <r>
    <n v="289"/>
    <s v="Renuka"/>
    <x v="81"/>
    <s v="Apple, Vegetable"/>
    <x v="1"/>
    <n v="225"/>
    <n v="0"/>
    <n v="-225"/>
    <n v="0"/>
    <x v="1"/>
    <x v="0"/>
    <x v="1"/>
    <x v="3"/>
  </r>
  <r>
    <n v="290"/>
    <s v="Renuka"/>
    <x v="81"/>
    <s v="Parotta"/>
    <x v="2"/>
    <n v="85"/>
    <n v="0"/>
    <n v="-85"/>
    <n v="0"/>
    <x v="1"/>
    <x v="0"/>
    <x v="1"/>
    <x v="3"/>
  </r>
  <r>
    <n v="291"/>
    <s v="Renuka"/>
    <x v="81"/>
    <s v="Egg"/>
    <x v="1"/>
    <n v="220"/>
    <n v="0"/>
    <n v="-220"/>
    <n v="0"/>
    <x v="1"/>
    <x v="0"/>
    <x v="1"/>
    <x v="3"/>
  </r>
  <r>
    <n v="292"/>
    <s v="Renuka"/>
    <x v="81"/>
    <s v="Salary"/>
    <x v="9"/>
    <n v="0"/>
    <n v="43700"/>
    <n v="43700"/>
    <n v="0"/>
    <x v="3"/>
    <x v="1"/>
    <x v="1"/>
    <x v="3"/>
  </r>
  <r>
    <n v="293"/>
    <s v="Renuka"/>
    <x v="81"/>
    <s v="Allowances"/>
    <x v="9"/>
    <n v="0"/>
    <n v="3000"/>
    <n v="3000"/>
    <n v="0"/>
    <x v="3"/>
    <x v="1"/>
    <x v="1"/>
    <x v="3"/>
  </r>
  <r>
    <n v="294"/>
    <s v="Renuka"/>
    <x v="82"/>
    <s v="Thangamayil"/>
    <x v="8"/>
    <n v="10000"/>
    <n v="0"/>
    <n v="-10000"/>
    <n v="0"/>
    <x v="5"/>
    <x v="2"/>
    <x v="1"/>
    <x v="3"/>
  </r>
  <r>
    <n v="295"/>
    <s v="Renuka"/>
    <x v="82"/>
    <s v="Dine Spot"/>
    <x v="2"/>
    <n v="233"/>
    <n v="0"/>
    <n v="-233"/>
    <n v="0"/>
    <x v="1"/>
    <x v="0"/>
    <x v="1"/>
    <x v="3"/>
  </r>
  <r>
    <n v="296"/>
    <s v="Renuka"/>
    <x v="82"/>
    <s v="Tablet"/>
    <x v="20"/>
    <n v="68"/>
    <n v="0"/>
    <n v="-68"/>
    <n v="0"/>
    <x v="10"/>
    <x v="0"/>
    <x v="1"/>
    <x v="3"/>
  </r>
  <r>
    <n v="297"/>
    <s v="Renuka"/>
    <x v="82"/>
    <s v="Parotta"/>
    <x v="2"/>
    <n v="245"/>
    <n v="0"/>
    <n v="-245"/>
    <n v="0"/>
    <x v="1"/>
    <x v="0"/>
    <x v="1"/>
    <x v="3"/>
  </r>
  <r>
    <n v="298"/>
    <s v="Renuka"/>
    <x v="82"/>
    <s v="House Rent"/>
    <x v="17"/>
    <n v="15500"/>
    <n v="0"/>
    <n v="-15500"/>
    <n v="0"/>
    <x v="9"/>
    <x v="0"/>
    <x v="1"/>
    <x v="3"/>
  </r>
  <r>
    <n v="299"/>
    <s v="Renuka"/>
    <x v="82"/>
    <s v="Water"/>
    <x v="18"/>
    <n v="250"/>
    <n v="0"/>
    <n v="-250"/>
    <n v="0"/>
    <x v="9"/>
    <x v="0"/>
    <x v="1"/>
    <x v="3"/>
  </r>
  <r>
    <n v="300"/>
    <s v="Renuka"/>
    <x v="82"/>
    <s v="Electricity"/>
    <x v="19"/>
    <n v="750"/>
    <n v="0"/>
    <n v="-750"/>
    <n v="0"/>
    <x v="9"/>
    <x v="0"/>
    <x v="1"/>
    <x v="3"/>
  </r>
  <r>
    <n v="301"/>
    <s v="Gowtham"/>
    <x v="83"/>
    <s v="Tea"/>
    <x v="2"/>
    <n v="20"/>
    <n v="0"/>
    <n v="-20"/>
    <n v="0"/>
    <x v="1"/>
    <x v="0"/>
    <x v="1"/>
    <x v="3"/>
  </r>
  <r>
    <n v="302"/>
    <s v="Gowtham"/>
    <x v="83"/>
    <s v="Zip Tag"/>
    <x v="16"/>
    <n v="120"/>
    <n v="0"/>
    <n v="-120"/>
    <n v="0"/>
    <x v="9"/>
    <x v="0"/>
    <x v="1"/>
    <x v="3"/>
  </r>
  <r>
    <n v="303"/>
    <s v="Gowtham"/>
    <x v="84"/>
    <s v="Chicken"/>
    <x v="1"/>
    <n v="150"/>
    <n v="0"/>
    <n v="-150"/>
    <n v="0"/>
    <x v="1"/>
    <x v="0"/>
    <x v="1"/>
    <x v="3"/>
  </r>
  <r>
    <n v="304"/>
    <s v="Gowtham"/>
    <x v="84"/>
    <s v="Curd"/>
    <x v="1"/>
    <n v="38"/>
    <n v="0"/>
    <n v="-38"/>
    <n v="0"/>
    <x v="1"/>
    <x v="0"/>
    <x v="1"/>
    <x v="3"/>
  </r>
  <r>
    <n v="305"/>
    <s v="Renuka"/>
    <x v="84"/>
    <s v="KPN Fresh"/>
    <x v="1"/>
    <n v="544"/>
    <n v="0"/>
    <n v="-544"/>
    <n v="0"/>
    <x v="1"/>
    <x v="0"/>
    <x v="1"/>
    <x v="3"/>
  </r>
  <r>
    <n v="306"/>
    <s v="Renuka"/>
    <x v="84"/>
    <s v="Bakery"/>
    <x v="2"/>
    <n v="285"/>
    <n v="0"/>
    <n v="-285"/>
    <n v="0"/>
    <x v="1"/>
    <x v="0"/>
    <x v="1"/>
    <x v="3"/>
  </r>
  <r>
    <n v="307"/>
    <s v="Gowtham"/>
    <x v="85"/>
    <s v="Flower"/>
    <x v="22"/>
    <n v="50"/>
    <n v="0"/>
    <n v="-50"/>
    <n v="0"/>
    <x v="1"/>
    <x v="0"/>
    <x v="1"/>
    <x v="3"/>
  </r>
  <r>
    <n v="308"/>
    <s v="Gowtham"/>
    <x v="85"/>
    <s v="Dairy Milk"/>
    <x v="2"/>
    <n v="214"/>
    <n v="0"/>
    <n v="-214"/>
    <n v="0"/>
    <x v="1"/>
    <x v="0"/>
    <x v="1"/>
    <x v="3"/>
  </r>
  <r>
    <n v="309"/>
    <s v="Gowtham"/>
    <x v="86"/>
    <s v="BBNL"/>
    <x v="13"/>
    <n v="352.82"/>
    <n v="0"/>
    <n v="-352.82"/>
    <n v="0"/>
    <x v="7"/>
    <x v="0"/>
    <x v="1"/>
    <x v="3"/>
  </r>
  <r>
    <n v="310"/>
    <s v="Gowtham"/>
    <x v="86"/>
    <s v="Tea"/>
    <x v="2"/>
    <n v="45"/>
    <n v="0"/>
    <n v="-45"/>
    <n v="0"/>
    <x v="1"/>
    <x v="0"/>
    <x v="1"/>
    <x v="3"/>
  </r>
  <r>
    <n v="311"/>
    <s v="Gowtham"/>
    <x v="86"/>
    <s v="Salary"/>
    <x v="6"/>
    <n v="0"/>
    <n v="56200"/>
    <n v="56200"/>
    <n v="0"/>
    <x v="3"/>
    <x v="1"/>
    <x v="1"/>
    <x v="3"/>
  </r>
  <r>
    <n v="312"/>
    <s v="Renuka"/>
    <x v="86"/>
    <s v="Burger"/>
    <x v="30"/>
    <n v="251"/>
    <n v="0"/>
    <n v="-251"/>
    <n v="0"/>
    <x v="12"/>
    <x v="3"/>
    <x v="1"/>
    <x v="3"/>
  </r>
  <r>
    <n v="313"/>
    <s v="Renuka"/>
    <x v="86"/>
    <s v="Petrol"/>
    <x v="3"/>
    <n v="300"/>
    <n v="0"/>
    <n v="-300"/>
    <n v="0"/>
    <x v="0"/>
    <x v="0"/>
    <x v="1"/>
    <x v="3"/>
  </r>
  <r>
    <n v="314"/>
    <s v="Renuka"/>
    <x v="86"/>
    <s v="Coconut Drink"/>
    <x v="2"/>
    <n v="50"/>
    <n v="0"/>
    <n v="-50"/>
    <n v="0"/>
    <x v="1"/>
    <x v="0"/>
    <x v="1"/>
    <x v="3"/>
  </r>
  <r>
    <n v="315"/>
    <s v="Renuka"/>
    <x v="86"/>
    <s v="Mutton"/>
    <x v="1"/>
    <n v="620"/>
    <n v="0"/>
    <n v="-620"/>
    <n v="0"/>
    <x v="1"/>
    <x v="0"/>
    <x v="1"/>
    <x v="3"/>
  </r>
  <r>
    <n v="316"/>
    <s v="Renuka"/>
    <x v="86"/>
    <s v="Coriander Leaves"/>
    <x v="1"/>
    <n v="20"/>
    <n v="0"/>
    <n v="-20"/>
    <n v="0"/>
    <x v="1"/>
    <x v="0"/>
    <x v="1"/>
    <x v="3"/>
  </r>
  <r>
    <n v="317"/>
    <s v="Renuka"/>
    <x v="86"/>
    <s v="Mall Parking"/>
    <x v="5"/>
    <n v="70"/>
    <n v="0"/>
    <n v="-70"/>
    <n v="0"/>
    <x v="0"/>
    <x v="0"/>
    <x v="1"/>
    <x v="3"/>
  </r>
  <r>
    <n v="318"/>
    <s v="Renuka"/>
    <x v="86"/>
    <s v="Puliyur EB Bill"/>
    <x v="19"/>
    <n v="165"/>
    <n v="0"/>
    <n v="-165"/>
    <n v="0"/>
    <x v="9"/>
    <x v="0"/>
    <x v="1"/>
    <x v="3"/>
  </r>
  <r>
    <n v="319"/>
    <s v="Gowtham"/>
    <x v="87"/>
    <s v="Amma Jio"/>
    <x v="13"/>
    <n v="666"/>
    <n v="0"/>
    <n v="-666"/>
    <n v="0"/>
    <x v="7"/>
    <x v="0"/>
    <x v="1"/>
    <x v="3"/>
  </r>
  <r>
    <n v="320"/>
    <s v="Gowtham"/>
    <x v="87"/>
    <s v="Gow Jio"/>
    <x v="13"/>
    <n v="899"/>
    <n v="0"/>
    <n v="-899"/>
    <n v="0"/>
    <x v="7"/>
    <x v="0"/>
    <x v="1"/>
    <x v="3"/>
  </r>
  <r>
    <n v="321"/>
    <s v="Gowtham"/>
    <x v="87"/>
    <s v="Credit Card Bill-Axis"/>
    <x v="7"/>
    <n v="9000"/>
    <n v="0"/>
    <n v="-9000"/>
    <n v="0"/>
    <x v="4"/>
    <x v="0"/>
    <x v="1"/>
    <x v="3"/>
  </r>
  <r>
    <n v="322"/>
    <s v="Gowtham"/>
    <x v="87"/>
    <s v="Credit Card Bill"/>
    <x v="7"/>
    <n v="361"/>
    <n v="0"/>
    <n v="-361"/>
    <n v="0"/>
    <x v="4"/>
    <x v="0"/>
    <x v="1"/>
    <x v="3"/>
  </r>
  <r>
    <n v="323"/>
    <s v="Gowtham"/>
    <x v="87"/>
    <s v="To Home"/>
    <x v="11"/>
    <n v="5000"/>
    <n v="0"/>
    <n v="-5000"/>
    <n v="0"/>
    <x v="4"/>
    <x v="0"/>
    <x v="1"/>
    <x v="3"/>
  </r>
  <r>
    <n v="324"/>
    <s v="Gowtham"/>
    <x v="87"/>
    <s v="Zerodha"/>
    <x v="21"/>
    <n v="600"/>
    <n v="0"/>
    <n v="-600"/>
    <n v="0"/>
    <x v="7"/>
    <x v="0"/>
    <x v="1"/>
    <x v="3"/>
  </r>
  <r>
    <n v="325"/>
    <s v="Renuka"/>
    <x v="87"/>
    <s v="To Home"/>
    <x v="12"/>
    <n v="5621"/>
    <n v="0"/>
    <n v="-5621"/>
    <n v="0"/>
    <x v="4"/>
    <x v="0"/>
    <x v="1"/>
    <x v="3"/>
  </r>
  <r>
    <n v="326"/>
    <s v="Gowtham"/>
    <x v="88"/>
    <s v="Jimiki"/>
    <x v="29"/>
    <n v="270"/>
    <n v="0"/>
    <n v="-270"/>
    <n v="0"/>
    <x v="11"/>
    <x v="0"/>
    <x v="1"/>
    <x v="3"/>
  </r>
  <r>
    <n v="327"/>
    <s v="Gowtham"/>
    <x v="89"/>
    <s v="KFC"/>
    <x v="2"/>
    <n v="748"/>
    <n v="0"/>
    <n v="-748"/>
    <n v="0"/>
    <x v="1"/>
    <x v="0"/>
    <x v="1"/>
    <x v="3"/>
  </r>
  <r>
    <n v="328"/>
    <s v="Gowtham"/>
    <x v="89"/>
    <s v="To Renu Thatha"/>
    <x v="12"/>
    <n v="2000"/>
    <n v="0"/>
    <n v="-2000"/>
    <n v="0"/>
    <x v="4"/>
    <x v="0"/>
    <x v="1"/>
    <x v="3"/>
  </r>
  <r>
    <n v="329"/>
    <s v="Gowtham"/>
    <x v="90"/>
    <s v="Arav Farms"/>
    <x v="1"/>
    <n v="48"/>
    <n v="0"/>
    <n v="-48"/>
    <n v="0"/>
    <x v="1"/>
    <x v="0"/>
    <x v="1"/>
    <x v="3"/>
  </r>
  <r>
    <n v="330"/>
    <s v="Gowtham"/>
    <x v="90"/>
    <s v="Parotta"/>
    <x v="2"/>
    <n v="235"/>
    <n v="0"/>
    <n v="-235"/>
    <n v="0"/>
    <x v="1"/>
    <x v="0"/>
    <x v="1"/>
    <x v="3"/>
  </r>
  <r>
    <n v="331"/>
    <s v="Gowtham"/>
    <x v="90"/>
    <s v="Kaviraj Marriage Train tickets"/>
    <x v="5"/>
    <n v="1890"/>
    <n v="0"/>
    <n v="-1890"/>
    <n v="0"/>
    <x v="0"/>
    <x v="0"/>
    <x v="1"/>
    <x v="3"/>
  </r>
  <r>
    <n v="332"/>
    <s v="Gowtham"/>
    <x v="91"/>
    <s v="Grocerries"/>
    <x v="1"/>
    <n v="90"/>
    <n v="0"/>
    <n v="-90"/>
    <n v="0"/>
    <x v="1"/>
    <x v="0"/>
    <x v="1"/>
    <x v="3"/>
  </r>
  <r>
    <n v="333"/>
    <s v="Gowtham"/>
    <x v="91"/>
    <s v="Tea"/>
    <x v="2"/>
    <n v="30"/>
    <n v="0"/>
    <n v="-30"/>
    <n v="0"/>
    <x v="1"/>
    <x v="0"/>
    <x v="1"/>
    <x v="3"/>
  </r>
  <r>
    <n v="334"/>
    <s v="Gowtham"/>
    <x v="91"/>
    <s v="Zudio"/>
    <x v="14"/>
    <n v="478"/>
    <n v="0"/>
    <n v="-478"/>
    <n v="0"/>
    <x v="1"/>
    <x v="0"/>
    <x v="1"/>
    <x v="3"/>
  </r>
  <r>
    <n v="335"/>
    <s v="Gowtham"/>
    <x v="91"/>
    <s v="Zudio"/>
    <x v="14"/>
    <n v="278"/>
    <n v="0"/>
    <n v="-278"/>
    <n v="0"/>
    <x v="1"/>
    <x v="0"/>
    <x v="1"/>
    <x v="3"/>
  </r>
  <r>
    <n v="336"/>
    <s v="Gowtham"/>
    <x v="91"/>
    <s v="Helmet Lock"/>
    <x v="31"/>
    <n v="200"/>
    <n v="0"/>
    <n v="-200"/>
    <n v="0"/>
    <x v="8"/>
    <x v="0"/>
    <x v="1"/>
    <x v="3"/>
  </r>
  <r>
    <n v="337"/>
    <s v="Gowtham"/>
    <x v="91"/>
    <s v="Momo's"/>
    <x v="2"/>
    <n v="60"/>
    <n v="0"/>
    <n v="-60"/>
    <n v="0"/>
    <x v="1"/>
    <x v="0"/>
    <x v="1"/>
    <x v="3"/>
  </r>
  <r>
    <n v="338"/>
    <s v="Gowtham"/>
    <x v="91"/>
    <s v="Nandana Palace"/>
    <x v="2"/>
    <n v="1172"/>
    <n v="0"/>
    <n v="-1172"/>
    <n v="0"/>
    <x v="1"/>
    <x v="0"/>
    <x v="1"/>
    <x v="3"/>
  </r>
  <r>
    <n v="339"/>
    <s v="Gowtham"/>
    <x v="91"/>
    <s v="Cylinder"/>
    <x v="16"/>
    <n v="880"/>
    <n v="0"/>
    <n v="-880"/>
    <n v="0"/>
    <x v="9"/>
    <x v="0"/>
    <x v="1"/>
    <x v="3"/>
  </r>
  <r>
    <n v="340"/>
    <s v="Renuka"/>
    <x v="91"/>
    <s v="Parker Pen"/>
    <x v="29"/>
    <n v="425"/>
    <n v="0"/>
    <n v="-425"/>
    <n v="0"/>
    <x v="11"/>
    <x v="0"/>
    <x v="1"/>
    <x v="3"/>
  </r>
  <r>
    <n v="341"/>
    <s v="Gowtham"/>
    <x v="92"/>
    <s v="Chicken"/>
    <x v="1"/>
    <n v="100"/>
    <n v="0"/>
    <n v="-100"/>
    <n v="0"/>
    <x v="1"/>
    <x v="0"/>
    <x v="1"/>
    <x v="3"/>
  </r>
  <r>
    <n v="342"/>
    <s v="Gowtham"/>
    <x v="92"/>
    <s v="Fish"/>
    <x v="1"/>
    <n v="260"/>
    <n v="0"/>
    <n v="-260"/>
    <n v="0"/>
    <x v="1"/>
    <x v="0"/>
    <x v="1"/>
    <x v="3"/>
  </r>
  <r>
    <n v="343"/>
    <s v="Gowtham"/>
    <x v="92"/>
    <s v="Milk"/>
    <x v="1"/>
    <n v="20"/>
    <n v="0"/>
    <n v="-20"/>
    <n v="0"/>
    <x v="1"/>
    <x v="0"/>
    <x v="1"/>
    <x v="3"/>
  </r>
  <r>
    <n v="344"/>
    <s v="Gowtham"/>
    <x v="93"/>
    <s v="Zepto-Potato, Milk"/>
    <x v="1"/>
    <n v="146"/>
    <n v="0"/>
    <n v="-146"/>
    <n v="0"/>
    <x v="1"/>
    <x v="0"/>
    <x v="1"/>
    <x v="3"/>
  </r>
  <r>
    <n v="345"/>
    <s v="Gowtham"/>
    <x v="94"/>
    <s v="Past"/>
    <x v="1"/>
    <n v="20"/>
    <n v="0"/>
    <n v="-20"/>
    <n v="0"/>
    <x v="1"/>
    <x v="0"/>
    <x v="1"/>
    <x v="3"/>
  </r>
  <r>
    <n v="346"/>
    <s v="Gowtham"/>
    <x v="94"/>
    <s v="Coconut Drink"/>
    <x v="2"/>
    <n v="50"/>
    <n v="0"/>
    <n v="-50"/>
    <n v="0"/>
    <x v="1"/>
    <x v="0"/>
    <x v="1"/>
    <x v="3"/>
  </r>
  <r>
    <n v="347"/>
    <s v="Gowtham"/>
    <x v="94"/>
    <s v="THE BIG MARKET"/>
    <x v="1"/>
    <n v="526"/>
    <n v="0"/>
    <n v="-526"/>
    <n v="0"/>
    <x v="1"/>
    <x v="0"/>
    <x v="1"/>
    <x v="3"/>
  </r>
  <r>
    <n v="348"/>
    <s v="Gowtham"/>
    <x v="94"/>
    <s v="Friuts"/>
    <x v="1"/>
    <n v="140"/>
    <n v="0"/>
    <n v="-140"/>
    <n v="0"/>
    <x v="1"/>
    <x v="0"/>
    <x v="1"/>
    <x v="3"/>
  </r>
  <r>
    <n v="349"/>
    <s v="Gowtham"/>
    <x v="94"/>
    <s v="Ointment for Neck"/>
    <x v="20"/>
    <n v="150"/>
    <n v="0"/>
    <n v="-150"/>
    <n v="0"/>
    <x v="10"/>
    <x v="0"/>
    <x v="1"/>
    <x v="3"/>
  </r>
  <r>
    <n v="350"/>
    <s v="Gowtham"/>
    <x v="95"/>
    <s v="Shawarma"/>
    <x v="2"/>
    <n v="170"/>
    <n v="0"/>
    <n v="-170"/>
    <n v="0"/>
    <x v="1"/>
    <x v="0"/>
    <x v="1"/>
    <x v="3"/>
  </r>
  <r>
    <n v="351"/>
    <s v="Gowtham"/>
    <x v="95"/>
    <s v="Chilli Chicken"/>
    <x v="2"/>
    <n v="100"/>
    <n v="0"/>
    <n v="-100"/>
    <n v="0"/>
    <x v="1"/>
    <x v="0"/>
    <x v="1"/>
    <x v="3"/>
  </r>
  <r>
    <n v="352"/>
    <s v="Gowtham"/>
    <x v="96"/>
    <s v="Balaji General Stores"/>
    <x v="1"/>
    <n v="10"/>
    <n v="0"/>
    <n v="-10"/>
    <n v="0"/>
    <x v="1"/>
    <x v="0"/>
    <x v="1"/>
    <x v="3"/>
  </r>
  <r>
    <n v="353"/>
    <s v="Gowtham"/>
    <x v="96"/>
    <s v="Sherif Bhai Biriyani-Zomato"/>
    <x v="2"/>
    <n v="831.25"/>
    <n v="0"/>
    <n v="-831.25"/>
    <n v="0"/>
    <x v="1"/>
    <x v="0"/>
    <x v="1"/>
    <x v="3"/>
  </r>
  <r>
    <n v="354"/>
    <s v="Renuka"/>
    <x v="97"/>
    <s v="Zepto - Cake"/>
    <x v="1"/>
    <n v="608"/>
    <n v="0"/>
    <n v="-608"/>
    <n v="0"/>
    <x v="1"/>
    <x v="0"/>
    <x v="1"/>
    <x v="3"/>
  </r>
  <r>
    <n v="355"/>
    <s v="Gowtham"/>
    <x v="98"/>
    <s v="Snacks"/>
    <x v="2"/>
    <n v="75"/>
    <n v="0"/>
    <n v="-75"/>
    <n v="0"/>
    <x v="1"/>
    <x v="0"/>
    <x v="1"/>
    <x v="3"/>
  </r>
  <r>
    <n v="356"/>
    <s v="Renuka"/>
    <x v="98"/>
    <s v="Auto to SMVT"/>
    <x v="5"/>
    <n v="310"/>
    <n v="0"/>
    <n v="-310"/>
    <n v="0"/>
    <x v="0"/>
    <x v="0"/>
    <x v="1"/>
    <x v="3"/>
  </r>
  <r>
    <n v="357"/>
    <s v="Gowtham"/>
    <x v="99"/>
    <s v="Auto to Lodge"/>
    <x v="2"/>
    <n v="74"/>
    <n v="0"/>
    <n v="-74"/>
    <n v="0"/>
    <x v="1"/>
    <x v="0"/>
    <x v="1"/>
    <x v="3"/>
  </r>
  <r>
    <n v="358"/>
    <s v="Gowtham"/>
    <x v="99"/>
    <s v="Tea"/>
    <x v="2"/>
    <n v="44"/>
    <n v="0"/>
    <n v="-44"/>
    <n v="0"/>
    <x v="1"/>
    <x v="0"/>
    <x v="1"/>
    <x v="3"/>
  </r>
  <r>
    <n v="359"/>
    <s v="Gowtham"/>
    <x v="99"/>
    <s v="Snacks"/>
    <x v="2"/>
    <n v="50"/>
    <n v="0"/>
    <n v="-50"/>
    <n v="0"/>
    <x v="1"/>
    <x v="0"/>
    <x v="1"/>
    <x v="3"/>
  </r>
  <r>
    <n v="360"/>
    <s v="Gowtham"/>
    <x v="99"/>
    <s v="Redbus from Tirunelveli to BG"/>
    <x v="5"/>
    <n v="3042"/>
    <n v="0"/>
    <n v="-3042"/>
    <n v="0"/>
    <x v="0"/>
    <x v="0"/>
    <x v="1"/>
    <x v="3"/>
  </r>
  <r>
    <n v="361"/>
    <s v="Renuka"/>
    <x v="99"/>
    <s v="Flower"/>
    <x v="26"/>
    <n v="100"/>
    <n v="0"/>
    <n v="-100"/>
    <n v="0"/>
    <x v="1"/>
    <x v="0"/>
    <x v="1"/>
    <x v="3"/>
  </r>
  <r>
    <n v="362"/>
    <s v="Renuka"/>
    <x v="99"/>
    <s v="Local Bus"/>
    <x v="5"/>
    <n v="100"/>
    <n v="0"/>
    <n v="-100"/>
    <n v="0"/>
    <x v="0"/>
    <x v="0"/>
    <x v="1"/>
    <x v="3"/>
  </r>
  <r>
    <n v="363"/>
    <s v="Renuka"/>
    <x v="100"/>
    <s v="Cab from Majestic to Home"/>
    <x v="5"/>
    <n v="340"/>
    <n v="0"/>
    <n v="-340"/>
    <n v="0"/>
    <x v="0"/>
    <x v="0"/>
    <x v="1"/>
    <x v="3"/>
  </r>
  <r>
    <n v="364"/>
    <s v="Gowtham"/>
    <x v="101"/>
    <s v="Onion, Watermelon"/>
    <x v="1"/>
    <n v="200"/>
    <n v="0"/>
    <n v="-200"/>
    <n v="0"/>
    <x v="1"/>
    <x v="0"/>
    <x v="1"/>
    <x v="3"/>
  </r>
  <r>
    <n v="365"/>
    <s v="Renuka"/>
    <x v="101"/>
    <s v="Chicken Roll"/>
    <x v="2"/>
    <n v="280"/>
    <n v="0"/>
    <n v="-280"/>
    <n v="0"/>
    <x v="1"/>
    <x v="0"/>
    <x v="1"/>
    <x v="3"/>
  </r>
  <r>
    <n v="366"/>
    <s v="Renuka"/>
    <x v="102"/>
    <s v="Ghee, Paneer"/>
    <x v="1"/>
    <n v="220"/>
    <n v="0"/>
    <n v="-220"/>
    <n v="0"/>
    <x v="1"/>
    <x v="0"/>
    <x v="1"/>
    <x v="3"/>
  </r>
  <r>
    <n v="367"/>
    <s v="Gowtham"/>
    <x v="103"/>
    <s v="Salary"/>
    <x v="6"/>
    <n v="0"/>
    <n v="57540"/>
    <n v="57540"/>
    <n v="0"/>
    <x v="3"/>
    <x v="1"/>
    <x v="1"/>
    <x v="4"/>
  </r>
  <r>
    <n v="368"/>
    <s v="Gowtham"/>
    <x v="103"/>
    <s v="Zomato"/>
    <x v="2"/>
    <n v="1099"/>
    <n v="0"/>
    <n v="-1099"/>
    <n v="0"/>
    <x v="1"/>
    <x v="0"/>
    <x v="1"/>
    <x v="4"/>
  </r>
  <r>
    <n v="369"/>
    <s v="Gowtham"/>
    <x v="103"/>
    <s v="Train Ticket from AP to SMVT"/>
    <x v="5"/>
    <n v="532"/>
    <n v="0"/>
    <n v="-532"/>
    <n v="0"/>
    <x v="0"/>
    <x v="0"/>
    <x v="1"/>
    <x v="4"/>
  </r>
  <r>
    <n v="370"/>
    <s v="Gowtham"/>
    <x v="103"/>
    <s v="Bus Ticket to AP from BG"/>
    <x v="5"/>
    <n v="1430"/>
    <n v="0"/>
    <n v="-1430"/>
    <n v="0"/>
    <x v="0"/>
    <x v="0"/>
    <x v="1"/>
    <x v="4"/>
  </r>
  <r>
    <n v="371"/>
    <s v="Gowtham"/>
    <x v="103"/>
    <s v="Lunch @ Tirunelveli"/>
    <x v="2"/>
    <n v="1144"/>
    <n v="0"/>
    <n v="-1144"/>
    <n v="0"/>
    <x v="1"/>
    <x v="0"/>
    <x v="1"/>
    <x v="4"/>
  </r>
  <r>
    <n v="372"/>
    <s v="Gowtham"/>
    <x v="103"/>
    <s v="Selvarani Airtel Recharge"/>
    <x v="13"/>
    <n v="859"/>
    <n v="0"/>
    <n v="-859"/>
    <n v="0"/>
    <x v="7"/>
    <x v="0"/>
    <x v="1"/>
    <x v="4"/>
  </r>
  <r>
    <n v="373"/>
    <s v="Gowtham"/>
    <x v="103"/>
    <s v="To Parimalam"/>
    <x v="11"/>
    <n v="5115"/>
    <n v="0"/>
    <n v="-5115"/>
    <n v="0"/>
    <x v="4"/>
    <x v="0"/>
    <x v="1"/>
    <x v="4"/>
  </r>
  <r>
    <n v="374"/>
    <s v="Gowtham"/>
    <x v="103"/>
    <s v="D-Mart"/>
    <x v="2"/>
    <n v="40"/>
    <n v="0"/>
    <n v="-40"/>
    <n v="0"/>
    <x v="1"/>
    <x v="0"/>
    <x v="1"/>
    <x v="4"/>
  </r>
  <r>
    <n v="375"/>
    <s v="Gowtham"/>
    <x v="103"/>
    <s v="D-Mart"/>
    <x v="16"/>
    <n v="900"/>
    <n v="0"/>
    <n v="-900"/>
    <n v="0"/>
    <x v="9"/>
    <x v="0"/>
    <x v="1"/>
    <x v="4"/>
  </r>
  <r>
    <n v="376"/>
    <s v="Gowtham"/>
    <x v="103"/>
    <s v="Amar Hotel"/>
    <x v="2"/>
    <n v="300"/>
    <n v="0"/>
    <n v="-300"/>
    <n v="0"/>
    <x v="1"/>
    <x v="0"/>
    <x v="1"/>
    <x v="4"/>
  </r>
  <r>
    <n v="377"/>
    <s v="Gowtham"/>
    <x v="103"/>
    <s v="Petrol"/>
    <x v="3"/>
    <n v="300"/>
    <n v="0"/>
    <n v="-300"/>
    <n v="0"/>
    <x v="0"/>
    <x v="0"/>
    <x v="1"/>
    <x v="4"/>
  </r>
  <r>
    <n v="378"/>
    <s v="Gowtham"/>
    <x v="103"/>
    <s v="Tea"/>
    <x v="2"/>
    <n v="60"/>
    <n v="0"/>
    <n v="-60"/>
    <n v="0"/>
    <x v="1"/>
    <x v="0"/>
    <x v="1"/>
    <x v="4"/>
  </r>
  <r>
    <n v="379"/>
    <s v="Gowtham"/>
    <x v="103"/>
    <s v="Bajji"/>
    <x v="2"/>
    <n v="40"/>
    <n v="0"/>
    <n v="-40"/>
    <n v="0"/>
    <x v="1"/>
    <x v="0"/>
    <x v="1"/>
    <x v="4"/>
  </r>
  <r>
    <n v="380"/>
    <s v="Gowtham"/>
    <x v="103"/>
    <s v="Fruits"/>
    <x v="2"/>
    <n v="100"/>
    <n v="0"/>
    <n v="-100"/>
    <n v="0"/>
    <x v="1"/>
    <x v="0"/>
    <x v="1"/>
    <x v="4"/>
  </r>
  <r>
    <n v="381"/>
    <s v="Gowtham"/>
    <x v="103"/>
    <s v="Measuring Tape"/>
    <x v="16"/>
    <n v="20"/>
    <n v="0"/>
    <n v="-20"/>
    <n v="0"/>
    <x v="9"/>
    <x v="0"/>
    <x v="1"/>
    <x v="4"/>
  </r>
  <r>
    <n v="382"/>
    <s v="Gowtham"/>
    <x v="103"/>
    <s v="Malli Poo"/>
    <x v="26"/>
    <n v="40"/>
    <n v="0"/>
    <n v="-40"/>
    <n v="0"/>
    <x v="1"/>
    <x v="0"/>
    <x v="1"/>
    <x v="4"/>
  </r>
  <r>
    <n v="383"/>
    <s v="Gowtham"/>
    <x v="103"/>
    <s v="Clothes"/>
    <x v="14"/>
    <n v="1200"/>
    <n v="0"/>
    <n v="-1200"/>
    <n v="0"/>
    <x v="1"/>
    <x v="0"/>
    <x v="1"/>
    <x v="4"/>
  </r>
  <r>
    <n v="384"/>
    <s v="Gowtham"/>
    <x v="103"/>
    <s v="Clothes"/>
    <x v="14"/>
    <n v="1500"/>
    <n v="0"/>
    <n v="-1500"/>
    <n v="0"/>
    <x v="1"/>
    <x v="0"/>
    <x v="1"/>
    <x v="4"/>
  </r>
  <r>
    <n v="385"/>
    <s v="Gowtham"/>
    <x v="103"/>
    <s v="Parking"/>
    <x v="5"/>
    <n v="20"/>
    <n v="0"/>
    <n v="-20"/>
    <n v="0"/>
    <x v="0"/>
    <x v="0"/>
    <x v="1"/>
    <x v="4"/>
  </r>
  <r>
    <n v="386"/>
    <s v="Gowtham"/>
    <x v="103"/>
    <s v="Vada Paav"/>
    <x v="2"/>
    <n v="220"/>
    <n v="0"/>
    <n v="-220"/>
    <n v="0"/>
    <x v="1"/>
    <x v="0"/>
    <x v="1"/>
    <x v="4"/>
  </r>
  <r>
    <n v="387"/>
    <s v="Gowtham"/>
    <x v="103"/>
    <s v="Parotta for Kaviraj"/>
    <x v="2"/>
    <n v="75"/>
    <n v="0"/>
    <n v="-75"/>
    <n v="0"/>
    <x v="1"/>
    <x v="0"/>
    <x v="1"/>
    <x v="4"/>
  </r>
  <r>
    <n v="388"/>
    <s v="Gowtham"/>
    <x v="103"/>
    <s v="Tamaq Shawarma"/>
    <x v="2"/>
    <n v="378"/>
    <n v="0"/>
    <n v="-378"/>
    <n v="0"/>
    <x v="1"/>
    <x v="0"/>
    <x v="1"/>
    <x v="4"/>
  </r>
  <r>
    <n v="389"/>
    <s v="Gowtham"/>
    <x v="103"/>
    <s v="Onion &amp; Garlic"/>
    <x v="1"/>
    <n v="200"/>
    <n v="0"/>
    <n v="-200"/>
    <n v="0"/>
    <x v="1"/>
    <x v="0"/>
    <x v="1"/>
    <x v="4"/>
  </r>
  <r>
    <n v="390"/>
    <s v="Renuka"/>
    <x v="103"/>
    <s v="To selvarani"/>
    <x v="12"/>
    <n v="1000"/>
    <n v="0"/>
    <n v="-1000"/>
    <n v="0"/>
    <x v="4"/>
    <x v="0"/>
    <x v="1"/>
    <x v="4"/>
  </r>
  <r>
    <n v="391"/>
    <s v="Renuka"/>
    <x v="103"/>
    <s v="Salary"/>
    <x v="9"/>
    <n v="0"/>
    <n v="43500"/>
    <n v="43500"/>
    <n v="0"/>
    <x v="3"/>
    <x v="1"/>
    <x v="1"/>
    <x v="4"/>
  </r>
  <r>
    <n v="392"/>
    <s v="Renuka"/>
    <x v="103"/>
    <s v="To Savings Box"/>
    <x v="8"/>
    <n v="3000"/>
    <n v="0"/>
    <n v="-3000"/>
    <n v="0"/>
    <x v="5"/>
    <x v="2"/>
    <x v="1"/>
    <x v="4"/>
  </r>
  <r>
    <n v="393"/>
    <s v="Renuka"/>
    <x v="103"/>
    <s v="Beater"/>
    <x v="16"/>
    <n v="496"/>
    <n v="0"/>
    <n v="-496"/>
    <n v="0"/>
    <x v="9"/>
    <x v="0"/>
    <x v="1"/>
    <x v="4"/>
  </r>
  <r>
    <n v="394"/>
    <s v="Renuka"/>
    <x v="103"/>
    <s v="Shoes"/>
    <x v="14"/>
    <n v="1829"/>
    <n v="0"/>
    <n v="-1829"/>
    <n v="0"/>
    <x v="1"/>
    <x v="0"/>
    <x v="1"/>
    <x v="4"/>
  </r>
  <r>
    <n v="395"/>
    <s v="Renuka"/>
    <x v="103"/>
    <s v="Cupcake Mould"/>
    <x v="16"/>
    <n v="157"/>
    <n v="0"/>
    <n v="-157"/>
    <n v="0"/>
    <x v="9"/>
    <x v="0"/>
    <x v="1"/>
    <x v="4"/>
  </r>
  <r>
    <n v="396"/>
    <s v="Renuka"/>
    <x v="103"/>
    <s v="Masal Poori"/>
    <x v="2"/>
    <n v="85"/>
    <n v="0"/>
    <n v="-85"/>
    <n v="0"/>
    <x v="1"/>
    <x v="0"/>
    <x v="1"/>
    <x v="4"/>
  </r>
  <r>
    <n v="397"/>
    <s v="Renuka"/>
    <x v="103"/>
    <s v="Doctor Fee"/>
    <x v="20"/>
    <n v="150"/>
    <n v="0"/>
    <n v="-150"/>
    <n v="0"/>
    <x v="10"/>
    <x v="0"/>
    <x v="1"/>
    <x v="4"/>
  </r>
  <r>
    <n v="398"/>
    <s v="Renuka"/>
    <x v="103"/>
    <s v="Ram Medicals"/>
    <x v="20"/>
    <n v="280"/>
    <n v="0"/>
    <n v="-280"/>
    <n v="0"/>
    <x v="10"/>
    <x v="0"/>
    <x v="1"/>
    <x v="4"/>
  </r>
  <r>
    <n v="399"/>
    <s v="Renuka"/>
    <x v="103"/>
    <s v="Ram Medicals"/>
    <x v="26"/>
    <n v="1000"/>
    <n v="0"/>
    <n v="-1000"/>
    <n v="0"/>
    <x v="1"/>
    <x v="0"/>
    <x v="1"/>
    <x v="4"/>
  </r>
  <r>
    <n v="400"/>
    <s v="Renuka"/>
    <x v="103"/>
    <s v="Momo's"/>
    <x v="2"/>
    <n v="50"/>
    <n v="0"/>
    <n v="-50"/>
    <n v="0"/>
    <x v="1"/>
    <x v="0"/>
    <x v="1"/>
    <x v="4"/>
  </r>
  <r>
    <n v="401"/>
    <s v="Renuka"/>
    <x v="103"/>
    <s v="Saree Sitching"/>
    <x v="14"/>
    <n v="850"/>
    <n v="0"/>
    <n v="-850"/>
    <n v="0"/>
    <x v="1"/>
    <x v="0"/>
    <x v="1"/>
    <x v="4"/>
  </r>
  <r>
    <n v="402"/>
    <s v="Renuka"/>
    <x v="103"/>
    <s v="Juice"/>
    <x v="2"/>
    <n v="60"/>
    <n v="0"/>
    <n v="-60"/>
    <n v="0"/>
    <x v="1"/>
    <x v="0"/>
    <x v="1"/>
    <x v="4"/>
  </r>
  <r>
    <n v="403"/>
    <s v="Gowtham"/>
    <x v="104"/>
    <s v="Dentist"/>
    <x v="32"/>
    <n v="500"/>
    <n v="0"/>
    <n v="-500"/>
    <n v="0"/>
    <x v="10"/>
    <x v="0"/>
    <x v="1"/>
    <x v="4"/>
  </r>
  <r>
    <n v="404"/>
    <s v="Gowtham"/>
    <x v="104"/>
    <s v="Medicals"/>
    <x v="20"/>
    <n v="231"/>
    <n v="0"/>
    <n v="-231"/>
    <n v="0"/>
    <x v="10"/>
    <x v="0"/>
    <x v="1"/>
    <x v="4"/>
  </r>
  <r>
    <n v="405"/>
    <s v="Gowtham"/>
    <x v="104"/>
    <s v="To Kaviraj"/>
    <x v="2"/>
    <n v="300"/>
    <n v="0"/>
    <n v="-300"/>
    <n v="0"/>
    <x v="1"/>
    <x v="0"/>
    <x v="1"/>
    <x v="4"/>
  </r>
  <r>
    <n v="406"/>
    <s v="Renuka"/>
    <x v="104"/>
    <s v="Thangamayil"/>
    <x v="8"/>
    <n v="10000"/>
    <n v="0"/>
    <n v="-10000"/>
    <n v="0"/>
    <x v="5"/>
    <x v="2"/>
    <x v="1"/>
    <x v="4"/>
  </r>
  <r>
    <n v="407"/>
    <s v="Gowtham"/>
    <x v="105"/>
    <s v="Arav Farms"/>
    <x v="1"/>
    <n v="48"/>
    <n v="0"/>
    <n v="-48"/>
    <n v="0"/>
    <x v="1"/>
    <x v="0"/>
    <x v="1"/>
    <x v="4"/>
  </r>
  <r>
    <n v="408"/>
    <s v="Gowtham"/>
    <x v="105"/>
    <s v="Chicken"/>
    <x v="1"/>
    <n v="120"/>
    <n v="0"/>
    <n v="-120"/>
    <n v="0"/>
    <x v="1"/>
    <x v="0"/>
    <x v="1"/>
    <x v="4"/>
  </r>
  <r>
    <n v="409"/>
    <s v="Gowtham"/>
    <x v="105"/>
    <s v="Curd"/>
    <x v="1"/>
    <n v="32"/>
    <n v="0"/>
    <n v="-32"/>
    <n v="0"/>
    <x v="1"/>
    <x v="0"/>
    <x v="1"/>
    <x v="4"/>
  </r>
  <r>
    <n v="410"/>
    <s v="Gowtham"/>
    <x v="105"/>
    <s v="Veggies"/>
    <x v="1"/>
    <n v="232"/>
    <n v="0"/>
    <n v="-232"/>
    <n v="0"/>
    <x v="1"/>
    <x v="0"/>
    <x v="1"/>
    <x v="4"/>
  </r>
  <r>
    <n v="411"/>
    <s v="Gowtham"/>
    <x v="105"/>
    <s v="Kaviraj Marriage"/>
    <x v="29"/>
    <n v="1000"/>
    <n v="0"/>
    <n v="-1000"/>
    <n v="0"/>
    <x v="11"/>
    <x v="0"/>
    <x v="1"/>
    <x v="4"/>
  </r>
  <r>
    <n v="412"/>
    <s v="Renuka"/>
    <x v="105"/>
    <s v="Eating Out"/>
    <x v="2"/>
    <n v="45"/>
    <n v="0"/>
    <n v="-45"/>
    <n v="0"/>
    <x v="1"/>
    <x v="0"/>
    <x v="1"/>
    <x v="4"/>
  </r>
  <r>
    <n v="413"/>
    <s v="Renuka"/>
    <x v="105"/>
    <s v="House Rent"/>
    <x v="17"/>
    <n v="15500"/>
    <n v="0"/>
    <n v="-15500"/>
    <n v="0"/>
    <x v="9"/>
    <x v="0"/>
    <x v="1"/>
    <x v="4"/>
  </r>
  <r>
    <n v="414"/>
    <s v="Renuka"/>
    <x v="105"/>
    <s v="Water"/>
    <x v="18"/>
    <n v="250"/>
    <n v="0"/>
    <n v="-250"/>
    <n v="0"/>
    <x v="9"/>
    <x v="0"/>
    <x v="1"/>
    <x v="4"/>
  </r>
  <r>
    <n v="415"/>
    <s v="Renuka"/>
    <x v="105"/>
    <s v="Electricity"/>
    <x v="19"/>
    <n v="645"/>
    <n v="0"/>
    <n v="-645"/>
    <n v="0"/>
    <x v="9"/>
    <x v="0"/>
    <x v="1"/>
    <x v="4"/>
  </r>
  <r>
    <n v="416"/>
    <s v="Renuka"/>
    <x v="106"/>
    <s v="Zepto"/>
    <x v="1"/>
    <n v="303"/>
    <n v="0"/>
    <n v="-303"/>
    <n v="0"/>
    <x v="1"/>
    <x v="0"/>
    <x v="1"/>
    <x v="4"/>
  </r>
  <r>
    <n v="417"/>
    <s v="Renuka"/>
    <x v="107"/>
    <s v="Internet Bill claim"/>
    <x v="10"/>
    <n v="0"/>
    <n v="1050"/>
    <n v="1050"/>
    <n v="0"/>
    <x v="6"/>
    <x v="1"/>
    <x v="1"/>
    <x v="4"/>
  </r>
  <r>
    <n v="418"/>
    <s v="Gowtham"/>
    <x v="108"/>
    <s v="KPN Fresh"/>
    <x v="1"/>
    <n v="1000.2"/>
    <n v="0"/>
    <n v="-1000.2"/>
    <n v="0"/>
    <x v="1"/>
    <x v="0"/>
    <x v="1"/>
    <x v="4"/>
  </r>
  <r>
    <n v="419"/>
    <s v="Gowtham"/>
    <x v="108"/>
    <s v="Big Market"/>
    <x v="16"/>
    <n v="1008"/>
    <n v="0"/>
    <n v="-1008"/>
    <n v="0"/>
    <x v="9"/>
    <x v="0"/>
    <x v="1"/>
    <x v="4"/>
  </r>
  <r>
    <n v="420"/>
    <s v="Renuka"/>
    <x v="108"/>
    <s v="KFC"/>
    <x v="2"/>
    <n v="808"/>
    <n v="0"/>
    <n v="-808"/>
    <n v="0"/>
    <x v="1"/>
    <x v="0"/>
    <x v="1"/>
    <x v="4"/>
  </r>
  <r>
    <n v="421"/>
    <s v="Gowtham"/>
    <x v="109"/>
    <s v="Selvarani EMI"/>
    <x v="12"/>
    <n v="4621"/>
    <n v="0"/>
    <n v="-4621"/>
    <n v="0"/>
    <x v="4"/>
    <x v="0"/>
    <x v="1"/>
    <x v="4"/>
  </r>
  <r>
    <n v="422"/>
    <s v="Gowtham"/>
    <x v="110"/>
    <s v="Mutton"/>
    <x v="1"/>
    <n v="800"/>
    <n v="0"/>
    <n v="-800"/>
    <n v="0"/>
    <x v="1"/>
    <x v="0"/>
    <x v="1"/>
    <x v="4"/>
  </r>
  <r>
    <n v="423"/>
    <s v="Gowtham"/>
    <x v="110"/>
    <s v="Curd, Leaves"/>
    <x v="1"/>
    <n v="65"/>
    <n v="0"/>
    <n v="-65"/>
    <n v="0"/>
    <x v="1"/>
    <x v="0"/>
    <x v="1"/>
    <x v="4"/>
  </r>
  <r>
    <n v="424"/>
    <s v="Gowtham"/>
    <x v="110"/>
    <s v="Chicken"/>
    <x v="1"/>
    <n v="160"/>
    <n v="0"/>
    <n v="-160"/>
    <n v="0"/>
    <x v="1"/>
    <x v="0"/>
    <x v="1"/>
    <x v="4"/>
  </r>
  <r>
    <n v="425"/>
    <s v="Gowtham"/>
    <x v="110"/>
    <s v="Chicken"/>
    <x v="1"/>
    <n v="160"/>
    <n v="0"/>
    <n v="-160"/>
    <n v="0"/>
    <x v="1"/>
    <x v="0"/>
    <x v="1"/>
    <x v="4"/>
  </r>
  <r>
    <n v="426"/>
    <s v="Gowtham"/>
    <x v="111"/>
    <s v="Cab"/>
    <x v="5"/>
    <n v="380"/>
    <n v="0"/>
    <n v="-380"/>
    <n v="0"/>
    <x v="0"/>
    <x v="0"/>
    <x v="1"/>
    <x v="4"/>
  </r>
  <r>
    <n v="427"/>
    <s v="Gowtham"/>
    <x v="111"/>
    <s v="Snacks"/>
    <x v="2"/>
    <n v="95"/>
    <n v="0"/>
    <n v="-95"/>
    <n v="0"/>
    <x v="1"/>
    <x v="0"/>
    <x v="1"/>
    <x v="4"/>
  </r>
  <r>
    <n v="428"/>
    <s v="Gowtham"/>
    <x v="111"/>
    <s v="Research 360"/>
    <x v="21"/>
    <n v="100"/>
    <n v="0"/>
    <n v="-100"/>
    <n v="0"/>
    <x v="7"/>
    <x v="0"/>
    <x v="1"/>
    <x v="4"/>
  </r>
  <r>
    <n v="429"/>
    <s v="Gowtham"/>
    <x v="112"/>
    <s v="Shampoo, Soap"/>
    <x v="16"/>
    <n v="119"/>
    <n v="0"/>
    <n v="-119"/>
    <n v="0"/>
    <x v="9"/>
    <x v="0"/>
    <x v="1"/>
    <x v="4"/>
  </r>
  <r>
    <n v="430"/>
    <s v="Gowtham"/>
    <x v="112"/>
    <s v="Medicals"/>
    <x v="20"/>
    <n v="60"/>
    <n v="0"/>
    <n v="-60"/>
    <n v="0"/>
    <x v="10"/>
    <x v="0"/>
    <x v="1"/>
    <x v="4"/>
  </r>
  <r>
    <n v="431"/>
    <s v="Gowtham"/>
    <x v="112"/>
    <s v="Lunch @ Aadiyogi"/>
    <x v="2"/>
    <n v="380"/>
    <n v="0"/>
    <n v="-380"/>
    <n v="0"/>
    <x v="1"/>
    <x v="0"/>
    <x v="1"/>
    <x v="4"/>
  </r>
  <r>
    <n v="432"/>
    <s v="Gowtham"/>
    <x v="112"/>
    <s v="Lunch @ Aadiyogi"/>
    <x v="2"/>
    <n v="70"/>
    <n v="0"/>
    <n v="-70"/>
    <n v="0"/>
    <x v="1"/>
    <x v="0"/>
    <x v="1"/>
    <x v="4"/>
  </r>
  <r>
    <n v="433"/>
    <s v="Gowtham"/>
    <x v="112"/>
    <s v="Lunch @ Aadiyogi"/>
    <x v="2"/>
    <n v="80"/>
    <n v="0"/>
    <n v="-80"/>
    <n v="0"/>
    <x v="1"/>
    <x v="0"/>
    <x v="1"/>
    <x v="4"/>
  </r>
  <r>
    <n v="434"/>
    <s v="Gowtham"/>
    <x v="112"/>
    <s v="Juice"/>
    <x v="2"/>
    <n v="30"/>
    <n v="0"/>
    <n v="-30"/>
    <n v="0"/>
    <x v="1"/>
    <x v="0"/>
    <x v="1"/>
    <x v="4"/>
  </r>
  <r>
    <n v="435"/>
    <s v="Gowtham"/>
    <x v="113"/>
    <s v="Cab"/>
    <x v="5"/>
    <n v="391"/>
    <n v="0"/>
    <n v="-391"/>
    <n v="0"/>
    <x v="0"/>
    <x v="0"/>
    <x v="1"/>
    <x v="4"/>
  </r>
  <r>
    <n v="436"/>
    <s v="Gowtham"/>
    <x v="113"/>
    <s v="Milk, Snacks"/>
    <x v="2"/>
    <n v="135"/>
    <n v="0"/>
    <n v="-135"/>
    <n v="0"/>
    <x v="1"/>
    <x v="0"/>
    <x v="1"/>
    <x v="4"/>
  </r>
  <r>
    <n v="437"/>
    <s v="Gowtham"/>
    <x v="113"/>
    <s v="Parking @ marudhamalai"/>
    <x v="5"/>
    <n v="150"/>
    <n v="0"/>
    <n v="-150"/>
    <n v="0"/>
    <x v="0"/>
    <x v="0"/>
    <x v="1"/>
    <x v="4"/>
  </r>
  <r>
    <n v="438"/>
    <s v="Gowtham"/>
    <x v="114"/>
    <s v="Selvarani Wifi"/>
    <x v="13"/>
    <n v="352.82"/>
    <n v="0"/>
    <n v="-352.82"/>
    <n v="0"/>
    <x v="7"/>
    <x v="0"/>
    <x v="1"/>
    <x v="4"/>
  </r>
  <r>
    <n v="439"/>
    <s v="Gowtham"/>
    <x v="114"/>
    <s v="Milk"/>
    <x v="1"/>
    <n v="35"/>
    <n v="0"/>
    <n v="-35"/>
    <n v="0"/>
    <x v="1"/>
    <x v="0"/>
    <x v="1"/>
    <x v="4"/>
  </r>
  <r>
    <n v="440"/>
    <s v="Gowtham"/>
    <x v="115"/>
    <s v="KPN Fresh"/>
    <x v="29"/>
    <n v="742"/>
    <n v="0"/>
    <n v="-742"/>
    <n v="0"/>
    <x v="11"/>
    <x v="0"/>
    <x v="1"/>
    <x v="4"/>
  </r>
  <r>
    <n v="441"/>
    <s v="Gowtham"/>
    <x v="115"/>
    <s v="Zepto, Nuts"/>
    <x v="29"/>
    <n v="643"/>
    <n v="0"/>
    <n v="-643"/>
    <n v="0"/>
    <x v="11"/>
    <x v="0"/>
    <x v="1"/>
    <x v="4"/>
  </r>
  <r>
    <n v="442"/>
    <s v="Gowtham"/>
    <x v="115"/>
    <s v="Auto"/>
    <x v="5"/>
    <n v="235"/>
    <n v="0"/>
    <n v="-235"/>
    <n v="0"/>
    <x v="0"/>
    <x v="0"/>
    <x v="1"/>
    <x v="4"/>
  </r>
  <r>
    <n v="443"/>
    <s v="Gowtham"/>
    <x v="115"/>
    <s v="Chicken"/>
    <x v="1"/>
    <n v="120"/>
    <n v="0"/>
    <n v="-120"/>
    <n v="0"/>
    <x v="1"/>
    <x v="0"/>
    <x v="1"/>
    <x v="4"/>
  </r>
  <r>
    <n v="444"/>
    <s v="Gowtham"/>
    <x v="116"/>
    <s v="Chilli Chicken"/>
    <x v="2"/>
    <n v="60"/>
    <n v="0"/>
    <n v="-60"/>
    <n v="0"/>
    <x v="1"/>
    <x v="0"/>
    <x v="1"/>
    <x v="4"/>
  </r>
  <r>
    <n v="445"/>
    <s v="Gowtham"/>
    <x v="116"/>
    <s v="Semiya"/>
    <x v="1"/>
    <n v="100"/>
    <n v="0"/>
    <n v="-100"/>
    <n v="0"/>
    <x v="1"/>
    <x v="0"/>
    <x v="1"/>
    <x v="4"/>
  </r>
  <r>
    <n v="446"/>
    <s v="Renuka"/>
    <x v="116"/>
    <s v="Bakery"/>
    <x v="2"/>
    <n v="85"/>
    <n v="0"/>
    <n v="-85"/>
    <n v="0"/>
    <x v="1"/>
    <x v="0"/>
    <x v="1"/>
    <x v="4"/>
  </r>
  <r>
    <n v="447"/>
    <s v="Renuka"/>
    <x v="116"/>
    <s v="Bus Ticket"/>
    <x v="5"/>
    <n v="50"/>
    <n v="0"/>
    <n v="-50"/>
    <n v="0"/>
    <x v="0"/>
    <x v="0"/>
    <x v="1"/>
    <x v="4"/>
  </r>
  <r>
    <n v="448"/>
    <s v="Gowtham"/>
    <x v="117"/>
    <s v="Movie"/>
    <x v="15"/>
    <n v="900"/>
    <n v="0"/>
    <n v="-900"/>
    <n v="0"/>
    <x v="8"/>
    <x v="0"/>
    <x v="1"/>
    <x v="4"/>
  </r>
  <r>
    <n v="449"/>
    <s v="Gowtham"/>
    <x v="117"/>
    <s v="Mushroom"/>
    <x v="1"/>
    <n v="50"/>
    <n v="0"/>
    <n v="-50"/>
    <n v="0"/>
    <x v="1"/>
    <x v="0"/>
    <x v="1"/>
    <x v="4"/>
  </r>
  <r>
    <n v="450"/>
    <s v="Gowtham"/>
    <x v="117"/>
    <s v="Parking"/>
    <x v="5"/>
    <n v="50"/>
    <n v="0"/>
    <n v="-50"/>
    <n v="0"/>
    <x v="0"/>
    <x v="0"/>
    <x v="1"/>
    <x v="4"/>
  </r>
  <r>
    <n v="451"/>
    <s v="Gowtham"/>
    <x v="117"/>
    <s v="IRCTC BG to ED"/>
    <x v="5"/>
    <n v="1063.5999999999999"/>
    <n v="0"/>
    <n v="-1063.5999999999999"/>
    <n v="0"/>
    <x v="0"/>
    <x v="0"/>
    <x v="1"/>
    <x v="4"/>
  </r>
  <r>
    <n v="452"/>
    <s v="Gowtham"/>
    <x v="117"/>
    <s v="To Thatha"/>
    <x v="29"/>
    <n v="200"/>
    <n v="0"/>
    <n v="-200"/>
    <n v="0"/>
    <x v="11"/>
    <x v="0"/>
    <x v="1"/>
    <x v="4"/>
  </r>
  <r>
    <n v="453"/>
    <s v="Gowtham"/>
    <x v="117"/>
    <s v="RKM Bus"/>
    <x v="5"/>
    <n v="40"/>
    <n v="0"/>
    <n v="-40"/>
    <n v="0"/>
    <x v="0"/>
    <x v="0"/>
    <x v="1"/>
    <x v="4"/>
  </r>
  <r>
    <n v="454"/>
    <s v="Gowtham"/>
    <x v="118"/>
    <s v="Fruits"/>
    <x v="2"/>
    <n v="280"/>
    <n v="0"/>
    <n v="-280"/>
    <n v="0"/>
    <x v="1"/>
    <x v="0"/>
    <x v="1"/>
    <x v="4"/>
  </r>
  <r>
    <n v="455"/>
    <s v="Gowtham"/>
    <x v="118"/>
    <s v="Bun/Cake"/>
    <x v="2"/>
    <n v="100"/>
    <n v="0"/>
    <n v="-100"/>
    <n v="0"/>
    <x v="1"/>
    <x v="0"/>
    <x v="1"/>
    <x v="4"/>
  </r>
  <r>
    <n v="456"/>
    <s v="Renuka"/>
    <x v="118"/>
    <s v="Paani Poori"/>
    <x v="2"/>
    <n v="60"/>
    <n v="0"/>
    <n v="-60"/>
    <n v="0"/>
    <x v="1"/>
    <x v="0"/>
    <x v="1"/>
    <x v="4"/>
  </r>
  <r>
    <n v="457"/>
    <s v="Gowtham"/>
    <x v="119"/>
    <s v="Cab"/>
    <x v="5"/>
    <n v="370"/>
    <n v="0"/>
    <n v="-370"/>
    <n v="0"/>
    <x v="0"/>
    <x v="0"/>
    <x v="1"/>
    <x v="4"/>
  </r>
  <r>
    <n v="458"/>
    <s v="Gowtham"/>
    <x v="119"/>
    <s v="Zomoto"/>
    <x v="2"/>
    <n v="595.77"/>
    <n v="0"/>
    <n v="-595.77"/>
    <n v="0"/>
    <x v="1"/>
    <x v="0"/>
    <x v="1"/>
    <x v="4"/>
  </r>
  <r>
    <n v="459"/>
    <s v="Gowtham"/>
    <x v="119"/>
    <s v="Milk &amp; Snacks"/>
    <x v="1"/>
    <n v="25"/>
    <n v="0"/>
    <n v="-25"/>
    <n v="0"/>
    <x v="1"/>
    <x v="0"/>
    <x v="1"/>
    <x v="4"/>
  </r>
  <r>
    <n v="460"/>
    <s v="Gowtham"/>
    <x v="119"/>
    <s v="Milk &amp; Snacks"/>
    <x v="1"/>
    <n v="32"/>
    <n v="0"/>
    <n v="-32"/>
    <n v="0"/>
    <x v="1"/>
    <x v="0"/>
    <x v="1"/>
    <x v="4"/>
  </r>
  <r>
    <n v="461"/>
    <s v="Gowtham"/>
    <x v="120"/>
    <s v="Milk &amp; Snacks"/>
    <x v="1"/>
    <n v="48"/>
    <n v="0"/>
    <n v="-48"/>
    <n v="0"/>
    <x v="1"/>
    <x v="0"/>
    <x v="1"/>
    <x v="4"/>
  </r>
  <r>
    <n v="462"/>
    <s v="Gowtham"/>
    <x v="121"/>
    <s v="To Zerodha"/>
    <x v="8"/>
    <n v="20000"/>
    <n v="0"/>
    <n v="-20000"/>
    <n v="0"/>
    <x v="5"/>
    <x v="2"/>
    <x v="1"/>
    <x v="4"/>
  </r>
  <r>
    <n v="463"/>
    <s v="Gowtham"/>
    <x v="121"/>
    <s v="SBI Maintenance"/>
    <x v="21"/>
    <n v="250"/>
    <n v="0"/>
    <n v="-250"/>
    <n v="0"/>
    <x v="7"/>
    <x v="0"/>
    <x v="1"/>
    <x v="4"/>
  </r>
  <r>
    <n v="464"/>
    <s v="Gowtham"/>
    <x v="121"/>
    <s v="Chicken"/>
    <x v="1"/>
    <n v="120"/>
    <n v="0"/>
    <n v="-120"/>
    <n v="0"/>
    <x v="1"/>
    <x v="0"/>
    <x v="1"/>
    <x v="4"/>
  </r>
  <r>
    <n v="465"/>
    <s v="Gowtham"/>
    <x v="121"/>
    <s v="Curd"/>
    <x v="1"/>
    <n v="30"/>
    <n v="0"/>
    <n v="-30"/>
    <n v="0"/>
    <x v="1"/>
    <x v="0"/>
    <x v="1"/>
    <x v="4"/>
  </r>
  <r>
    <n v="466"/>
    <s v="Gowtham"/>
    <x v="122"/>
    <s v="Milk"/>
    <x v="1"/>
    <n v="55"/>
    <n v="0"/>
    <n v="-55"/>
    <n v="0"/>
    <x v="1"/>
    <x v="0"/>
    <x v="1"/>
    <x v="4"/>
  </r>
  <r>
    <n v="467"/>
    <s v="Gowtham"/>
    <x v="123"/>
    <s v="Fuel"/>
    <x v="3"/>
    <n v="300"/>
    <n v="0"/>
    <n v="-300"/>
    <n v="0"/>
    <x v="0"/>
    <x v="0"/>
    <x v="1"/>
    <x v="4"/>
  </r>
  <r>
    <n v="468"/>
    <s v="Gowtham"/>
    <x v="123"/>
    <s v="Nandini Delux"/>
    <x v="2"/>
    <n v="1180"/>
    <n v="0"/>
    <n v="-1180"/>
    <n v="0"/>
    <x v="1"/>
    <x v="0"/>
    <x v="1"/>
    <x v="4"/>
  </r>
  <r>
    <n v="469"/>
    <s v="Gowtham"/>
    <x v="123"/>
    <s v="Cake"/>
    <x v="2"/>
    <n v="110"/>
    <n v="0"/>
    <n v="-110"/>
    <n v="0"/>
    <x v="1"/>
    <x v="0"/>
    <x v="1"/>
    <x v="4"/>
  </r>
  <r>
    <n v="470"/>
    <s v="Renuka"/>
    <x v="123"/>
    <s v="Zepto"/>
    <x v="1"/>
    <n v="163"/>
    <n v="0"/>
    <n v="-163"/>
    <n v="0"/>
    <x v="1"/>
    <x v="0"/>
    <x v="1"/>
    <x v="4"/>
  </r>
  <r>
    <n v="471"/>
    <s v="Gowtham"/>
    <x v="124"/>
    <s v="KPN Fresh"/>
    <x v="1"/>
    <n v="486.23"/>
    <n v="0"/>
    <n v="-486.23"/>
    <n v="0"/>
    <x v="1"/>
    <x v="0"/>
    <x v="1"/>
    <x v="4"/>
  </r>
  <r>
    <n v="472"/>
    <s v="Gowtham"/>
    <x v="124"/>
    <s v="Ram Medicals"/>
    <x v="20"/>
    <n v="60"/>
    <n v="0"/>
    <n v="-60"/>
    <n v="0"/>
    <x v="10"/>
    <x v="0"/>
    <x v="1"/>
    <x v="4"/>
  </r>
  <r>
    <n v="473"/>
    <s v="Gowtham"/>
    <x v="124"/>
    <s v="Egg"/>
    <x v="1"/>
    <n v="36"/>
    <n v="0"/>
    <n v="-36"/>
    <n v="0"/>
    <x v="1"/>
    <x v="0"/>
    <x v="1"/>
    <x v="4"/>
  </r>
  <r>
    <n v="474"/>
    <s v="Renuka"/>
    <x v="124"/>
    <s v="Zepto"/>
    <x v="1"/>
    <n v="378"/>
    <n v="0"/>
    <n v="-378"/>
    <n v="0"/>
    <x v="1"/>
    <x v="0"/>
    <x v="1"/>
    <x v="4"/>
  </r>
  <r>
    <n v="475"/>
    <s v="Gowtham"/>
    <x v="125"/>
    <s v="Grocerries"/>
    <x v="1"/>
    <n v="27"/>
    <n v="0"/>
    <n v="-27"/>
    <n v="0"/>
    <x v="1"/>
    <x v="0"/>
    <x v="1"/>
    <x v="4"/>
  </r>
  <r>
    <n v="476"/>
    <s v="Gowtham"/>
    <x v="125"/>
    <s v="Arav"/>
    <x v="1"/>
    <n v="44"/>
    <n v="0"/>
    <n v="-44"/>
    <n v="0"/>
    <x v="1"/>
    <x v="0"/>
    <x v="1"/>
    <x v="4"/>
  </r>
  <r>
    <n v="477"/>
    <s v="Gowtham"/>
    <x v="125"/>
    <s v="Bus to Perambalur"/>
    <x v="5"/>
    <n v="465"/>
    <n v="0"/>
    <n v="-465"/>
    <n v="0"/>
    <x v="0"/>
    <x v="0"/>
    <x v="1"/>
    <x v="4"/>
  </r>
  <r>
    <n v="478"/>
    <s v="Gowtham"/>
    <x v="126"/>
    <s v="EB Bill AP"/>
    <x v="19"/>
    <n v="66"/>
    <n v="0"/>
    <n v="-66"/>
    <n v="0"/>
    <x v="9"/>
    <x v="0"/>
    <x v="1"/>
    <x v="4"/>
  </r>
  <r>
    <n v="479"/>
    <s v="Gowtham"/>
    <x v="126"/>
    <s v="Eating out Accenture"/>
    <x v="2"/>
    <n v="200"/>
    <n v="0"/>
    <n v="-200"/>
    <n v="0"/>
    <x v="1"/>
    <x v="0"/>
    <x v="1"/>
    <x v="4"/>
  </r>
  <r>
    <n v="480"/>
    <s v="Renuka"/>
    <x v="126"/>
    <s v="Eating Out"/>
    <x v="2"/>
    <n v="48"/>
    <n v="0"/>
    <n v="-48"/>
    <n v="0"/>
    <x v="1"/>
    <x v="0"/>
    <x v="1"/>
    <x v="4"/>
  </r>
  <r>
    <n v="481"/>
    <s v="Gowtham"/>
    <x v="127"/>
    <s v="Parotta"/>
    <x v="2"/>
    <n v="110"/>
    <n v="0"/>
    <n v="-110"/>
    <n v="0"/>
    <x v="1"/>
    <x v="0"/>
    <x v="1"/>
    <x v="4"/>
  </r>
  <r>
    <n v="482"/>
    <s v="Gowtham"/>
    <x v="128"/>
    <s v="Bus to Majestic"/>
    <x v="5"/>
    <n v="28"/>
    <n v="0"/>
    <n v="-28"/>
    <n v="0"/>
    <x v="0"/>
    <x v="0"/>
    <x v="1"/>
    <x v="4"/>
  </r>
  <r>
    <n v="483"/>
    <s v="Gowtham"/>
    <x v="128"/>
    <s v="Bus to St. Jhons"/>
    <x v="5"/>
    <n v="24"/>
    <n v="0"/>
    <n v="-24"/>
    <n v="0"/>
    <x v="0"/>
    <x v="0"/>
    <x v="1"/>
    <x v="4"/>
  </r>
  <r>
    <n v="484"/>
    <s v="Gowtham"/>
    <x v="128"/>
    <s v="Malabar Foods"/>
    <x v="2"/>
    <n v="210"/>
    <n v="0"/>
    <n v="-210"/>
    <n v="0"/>
    <x v="1"/>
    <x v="0"/>
    <x v="1"/>
    <x v="4"/>
  </r>
  <r>
    <n v="485"/>
    <s v="Gowtham"/>
    <x v="128"/>
    <s v="Bus to Salem"/>
    <x v="5"/>
    <n v="300"/>
    <n v="0"/>
    <n v="-300"/>
    <n v="0"/>
    <x v="0"/>
    <x v="0"/>
    <x v="1"/>
    <x v="4"/>
  </r>
  <r>
    <n v="486"/>
    <s v="Gowtham"/>
    <x v="129"/>
    <s v="Bus to Attur"/>
    <x v="5"/>
    <n v="52"/>
    <n v="0"/>
    <n v="-52"/>
    <n v="0"/>
    <x v="0"/>
    <x v="0"/>
    <x v="1"/>
    <x v="4"/>
  </r>
  <r>
    <n v="487"/>
    <s v="Gowtham"/>
    <x v="129"/>
    <s v="Soda"/>
    <x v="2"/>
    <n v="20"/>
    <n v="0"/>
    <n v="-20"/>
    <n v="0"/>
    <x v="1"/>
    <x v="0"/>
    <x v="1"/>
    <x v="4"/>
  </r>
  <r>
    <n v="488"/>
    <s v="Gowtham"/>
    <x v="129"/>
    <s v="Flower"/>
    <x v="26"/>
    <n v="50"/>
    <n v="0"/>
    <n v="-50"/>
    <n v="0"/>
    <x v="1"/>
    <x v="0"/>
    <x v="1"/>
    <x v="4"/>
  </r>
  <r>
    <n v="489"/>
    <s v="Gowtham"/>
    <x v="129"/>
    <s v="Snacks"/>
    <x v="29"/>
    <n v="145"/>
    <n v="0"/>
    <n v="-145"/>
    <n v="0"/>
    <x v="11"/>
    <x v="0"/>
    <x v="1"/>
    <x v="4"/>
  </r>
  <r>
    <n v="490"/>
    <s v="Gowtham"/>
    <x v="129"/>
    <s v="Fruits &amp; Fuel, Goodalur"/>
    <x v="29"/>
    <n v="800"/>
    <n v="0"/>
    <n v="-800"/>
    <n v="0"/>
    <x v="11"/>
    <x v="0"/>
    <x v="1"/>
    <x v="4"/>
  </r>
  <r>
    <n v="491"/>
    <s v="Gowtham"/>
    <x v="130"/>
    <s v="Snacks"/>
    <x v="29"/>
    <n v="145"/>
    <n v="0"/>
    <n v="-145"/>
    <n v="0"/>
    <x v="11"/>
    <x v="0"/>
    <x v="1"/>
    <x v="4"/>
  </r>
  <r>
    <n v="492"/>
    <s v="Gowtham"/>
    <x v="130"/>
    <s v="Snacks"/>
    <x v="29"/>
    <n v="661"/>
    <n v="0"/>
    <n v="-661"/>
    <n v="0"/>
    <x v="11"/>
    <x v="0"/>
    <x v="1"/>
    <x v="4"/>
  </r>
  <r>
    <n v="493"/>
    <s v="Renuka"/>
    <x v="130"/>
    <s v="Flower"/>
    <x v="26"/>
    <n v="130"/>
    <n v="0"/>
    <n v="-130"/>
    <n v="0"/>
    <x v="1"/>
    <x v="0"/>
    <x v="1"/>
    <x v="4"/>
  </r>
  <r>
    <n v="494"/>
    <s v="Gowtham"/>
    <x v="131"/>
    <s v="To Naveen"/>
    <x v="33"/>
    <n v="3000"/>
    <n v="0"/>
    <n v="-3000"/>
    <n v="0"/>
    <x v="13"/>
    <x v="0"/>
    <x v="1"/>
    <x v="4"/>
  </r>
  <r>
    <n v="495"/>
    <s v="Renuka"/>
    <x v="131"/>
    <s v="To Ilanjiyam"/>
    <x v="33"/>
    <n v="8000"/>
    <n v="0"/>
    <n v="-8000"/>
    <n v="0"/>
    <x v="13"/>
    <x v="0"/>
    <x v="1"/>
    <x v="4"/>
  </r>
  <r>
    <n v="496"/>
    <s v="Renuka"/>
    <x v="131"/>
    <s v="CC Borrow"/>
    <x v="34"/>
    <n v="0"/>
    <n v="6874.82"/>
    <n v="6874.82"/>
    <n v="0"/>
    <x v="14"/>
    <x v="1"/>
    <x v="1"/>
    <x v="4"/>
  </r>
  <r>
    <n v="497"/>
    <s v="Renuka"/>
    <x v="131"/>
    <s v="Thangamayil"/>
    <x v="8"/>
    <n v="3000"/>
    <n v="0"/>
    <n v="-3000"/>
    <n v="0"/>
    <x v="5"/>
    <x v="2"/>
    <x v="1"/>
    <x v="4"/>
  </r>
  <r>
    <n v="498"/>
    <s v="Gowtham"/>
    <x v="132"/>
    <s v="Milk, Curd"/>
    <x v="1"/>
    <n v="41"/>
    <n v="0"/>
    <n v="-41"/>
    <n v="0"/>
    <x v="1"/>
    <x v="0"/>
    <x v="1"/>
    <x v="5"/>
  </r>
  <r>
    <n v="499"/>
    <s v="Gowtham"/>
    <x v="132"/>
    <s v="Driving School"/>
    <x v="28"/>
    <n v="2000"/>
    <n v="0"/>
    <n v="-2000"/>
    <n v="0"/>
    <x v="8"/>
    <x v="0"/>
    <x v="1"/>
    <x v="5"/>
  </r>
  <r>
    <n v="500"/>
    <s v="Gowtham"/>
    <x v="132"/>
    <s v="Salary"/>
    <x v="6"/>
    <n v="0"/>
    <n v="57640"/>
    <n v="57640"/>
    <n v="0"/>
    <x v="3"/>
    <x v="1"/>
    <x v="1"/>
    <x v="5"/>
  </r>
  <r>
    <n v="501"/>
    <s v="Gowtham"/>
    <x v="132"/>
    <s v="Groceries"/>
    <x v="1"/>
    <n v="103"/>
    <n v="0"/>
    <n v="-103"/>
    <n v="0"/>
    <x v="1"/>
    <x v="0"/>
    <x v="1"/>
    <x v="5"/>
  </r>
  <r>
    <n v="502"/>
    <s v="Gowtham"/>
    <x v="132"/>
    <s v="CC Borrow Repayment"/>
    <x v="35"/>
    <n v="6874.82"/>
    <n v="0"/>
    <n v="-6874.82"/>
    <n v="0"/>
    <x v="13"/>
    <x v="0"/>
    <x v="1"/>
    <x v="5"/>
  </r>
  <r>
    <n v="503"/>
    <s v="Gowtham"/>
    <x v="132"/>
    <s v="To Parimala"/>
    <x v="11"/>
    <n v="5000"/>
    <n v="0"/>
    <n v="-5000"/>
    <n v="0"/>
    <x v="4"/>
    <x v="0"/>
    <x v="1"/>
    <x v="5"/>
  </r>
  <r>
    <n v="504"/>
    <s v="Gowtham"/>
    <x v="132"/>
    <s v="Tea"/>
    <x v="2"/>
    <n v="30"/>
    <n v="0"/>
    <n v="-30"/>
    <n v="0"/>
    <x v="1"/>
    <x v="0"/>
    <x v="1"/>
    <x v="5"/>
  </r>
  <r>
    <n v="505"/>
    <s v="Gowtham"/>
    <x v="132"/>
    <s v="Grocerries"/>
    <x v="1"/>
    <n v="73"/>
    <n v="0"/>
    <n v="-73"/>
    <n v="0"/>
    <x v="1"/>
    <x v="0"/>
    <x v="1"/>
    <x v="5"/>
  </r>
  <r>
    <n v="506"/>
    <s v="Renuka"/>
    <x v="132"/>
    <s v="Thangamayil DigiGold"/>
    <x v="8"/>
    <n v="100"/>
    <n v="0"/>
    <n v="-100"/>
    <n v="0"/>
    <x v="5"/>
    <x v="2"/>
    <x v="1"/>
    <x v="5"/>
  </r>
  <r>
    <n v="507"/>
    <s v="Renuka"/>
    <x v="132"/>
    <s v="Simba"/>
    <x v="29"/>
    <n v="1260"/>
    <n v="0"/>
    <n v="-1260"/>
    <n v="0"/>
    <x v="11"/>
    <x v="0"/>
    <x v="1"/>
    <x v="5"/>
  </r>
  <r>
    <n v="508"/>
    <s v="Renuka"/>
    <x v="132"/>
    <s v="Watermelon"/>
    <x v="2"/>
    <n v="120"/>
    <n v="0"/>
    <n v="-120"/>
    <n v="0"/>
    <x v="1"/>
    <x v="0"/>
    <x v="1"/>
    <x v="5"/>
  </r>
  <r>
    <n v="509"/>
    <s v="Renuka"/>
    <x v="132"/>
    <s v="Redbus to Bengaluru"/>
    <x v="5"/>
    <n v="1420"/>
    <n v="0"/>
    <n v="-1420"/>
    <n v="0"/>
    <x v="0"/>
    <x v="0"/>
    <x v="1"/>
    <x v="5"/>
  </r>
  <r>
    <n v="510"/>
    <s v="Renuka"/>
    <x v="132"/>
    <s v="Tablet"/>
    <x v="20"/>
    <n v="329"/>
    <n v="0"/>
    <n v="-329"/>
    <n v="0"/>
    <x v="10"/>
    <x v="0"/>
    <x v="1"/>
    <x v="5"/>
  </r>
  <r>
    <n v="511"/>
    <s v="Renuka"/>
    <x v="132"/>
    <s v="Juice"/>
    <x v="2"/>
    <n v="50"/>
    <n v="0"/>
    <n v="-50"/>
    <n v="0"/>
    <x v="1"/>
    <x v="0"/>
    <x v="1"/>
    <x v="5"/>
  </r>
  <r>
    <n v="512"/>
    <s v="Renuka"/>
    <x v="132"/>
    <s v="Cab"/>
    <x v="5"/>
    <n v="460"/>
    <n v="0"/>
    <n v="-460"/>
    <n v="0"/>
    <x v="0"/>
    <x v="0"/>
    <x v="1"/>
    <x v="5"/>
  </r>
  <r>
    <n v="513"/>
    <s v="Renuka"/>
    <x v="132"/>
    <s v="Milk"/>
    <x v="1"/>
    <n v="26"/>
    <n v="0"/>
    <n v="-26"/>
    <n v="0"/>
    <x v="1"/>
    <x v="0"/>
    <x v="1"/>
    <x v="5"/>
  </r>
  <r>
    <n v="514"/>
    <s v="Renuka"/>
    <x v="132"/>
    <s v="Flipkart"/>
    <x v="1"/>
    <n v="788"/>
    <n v="0"/>
    <n v="-788"/>
    <n v="0"/>
    <x v="1"/>
    <x v="0"/>
    <x v="1"/>
    <x v="5"/>
  </r>
  <r>
    <n v="515"/>
    <s v="Renuka"/>
    <x v="132"/>
    <s v="Flipkart"/>
    <x v="1"/>
    <n v="1264"/>
    <n v="0"/>
    <n v="-1264"/>
    <n v="0"/>
    <x v="1"/>
    <x v="0"/>
    <x v="1"/>
    <x v="5"/>
  </r>
  <r>
    <n v="516"/>
    <s v="Renuka"/>
    <x v="132"/>
    <s v="Wifi-Renu"/>
    <x v="13"/>
    <n v="659.59"/>
    <n v="0"/>
    <n v="-659.59"/>
    <n v="0"/>
    <x v="7"/>
    <x v="0"/>
    <x v="1"/>
    <x v="5"/>
  </r>
  <r>
    <n v="517"/>
    <s v="Renuka"/>
    <x v="132"/>
    <s v="Dinespot"/>
    <x v="2"/>
    <n v="1099"/>
    <n v="0"/>
    <n v="-1099"/>
    <n v="0"/>
    <x v="1"/>
    <x v="0"/>
    <x v="1"/>
    <x v="5"/>
  </r>
  <r>
    <n v="518"/>
    <s v="Renuka"/>
    <x v="132"/>
    <s v="Cake"/>
    <x v="2"/>
    <n v="150"/>
    <n v="0"/>
    <n v="-150"/>
    <n v="0"/>
    <x v="1"/>
    <x v="0"/>
    <x v="1"/>
    <x v="5"/>
  </r>
  <r>
    <n v="519"/>
    <s v="Renuka"/>
    <x v="132"/>
    <s v="Salary"/>
    <x v="9"/>
    <n v="0"/>
    <n v="48500"/>
    <n v="48500"/>
    <n v="0"/>
    <x v="3"/>
    <x v="1"/>
    <x v="1"/>
    <x v="5"/>
  </r>
  <r>
    <n v="520"/>
    <s v="Renuka"/>
    <x v="132"/>
    <s v="Selvakumar Vinitha"/>
    <x v="10"/>
    <n v="0"/>
    <n v="2000"/>
    <n v="2000"/>
    <n v="0"/>
    <x v="6"/>
    <x v="1"/>
    <x v="1"/>
    <x v="5"/>
  </r>
  <r>
    <n v="521"/>
    <s v="Renuka"/>
    <x v="132"/>
    <s v="Manimegalai-Selvarasu"/>
    <x v="34"/>
    <n v="0"/>
    <n v="10000"/>
    <n v="10000"/>
    <n v="0"/>
    <x v="14"/>
    <x v="1"/>
    <x v="1"/>
    <x v="5"/>
  </r>
  <r>
    <n v="522"/>
    <s v="Renuka"/>
    <x v="132"/>
    <s v="Thangamayil"/>
    <x v="8"/>
    <n v="7000"/>
    <n v="0"/>
    <n v="-7000"/>
    <n v="0"/>
    <x v="5"/>
    <x v="2"/>
    <x v="1"/>
    <x v="5"/>
  </r>
  <r>
    <n v="523"/>
    <s v="Renuka"/>
    <x v="132"/>
    <s v="To Radha Thatha"/>
    <x v="29"/>
    <n v="1000"/>
    <n v="0"/>
    <n v="-1000"/>
    <n v="0"/>
    <x v="11"/>
    <x v="0"/>
    <x v="1"/>
    <x v="5"/>
  </r>
  <r>
    <n v="524"/>
    <s v="Renuka"/>
    <x v="132"/>
    <s v="From Selvarani"/>
    <x v="10"/>
    <n v="0"/>
    <n v="500"/>
    <n v="500"/>
    <n v="0"/>
    <x v="6"/>
    <x v="1"/>
    <x v="1"/>
    <x v="5"/>
  </r>
  <r>
    <n v="525"/>
    <s v="Renuka"/>
    <x v="132"/>
    <s v="To Savings Box"/>
    <x v="8"/>
    <n v="500"/>
    <n v="0"/>
    <n v="-500"/>
    <n v="0"/>
    <x v="5"/>
    <x v="2"/>
    <x v="1"/>
    <x v="5"/>
  </r>
  <r>
    <n v="526"/>
    <s v="Gowtham"/>
    <x v="133"/>
    <s v="CC Borrow"/>
    <x v="34"/>
    <n v="0"/>
    <n v="2614"/>
    <n v="2614"/>
    <n v="0"/>
    <x v="14"/>
    <x v="1"/>
    <x v="1"/>
    <x v="5"/>
  </r>
  <r>
    <n v="527"/>
    <s v="Renuka"/>
    <x v="133"/>
    <s v="From Ilanjiyam"/>
    <x v="36"/>
    <n v="0"/>
    <n v="5000"/>
    <n v="5000"/>
    <n v="0"/>
    <x v="14"/>
    <x v="1"/>
    <x v="1"/>
    <x v="5"/>
  </r>
  <r>
    <n v="528"/>
    <s v="Gowtham"/>
    <x v="134"/>
    <s v="Milk"/>
    <x v="1"/>
    <n v="27"/>
    <n v="0"/>
    <n v="-27"/>
    <n v="0"/>
    <x v="1"/>
    <x v="0"/>
    <x v="1"/>
    <x v="5"/>
  </r>
  <r>
    <n v="529"/>
    <s v="Gowtham"/>
    <x v="134"/>
    <s v="To Vaibhav"/>
    <x v="5"/>
    <n v="776"/>
    <n v="0"/>
    <n v="-776"/>
    <n v="0"/>
    <x v="0"/>
    <x v="0"/>
    <x v="1"/>
    <x v="5"/>
  </r>
  <r>
    <n v="530"/>
    <s v="Gowtham"/>
    <x v="135"/>
    <s v="CC Repayment"/>
    <x v="35"/>
    <n v="2614"/>
    <n v="0"/>
    <n v="-2614"/>
    <n v="0"/>
    <x v="13"/>
    <x v="0"/>
    <x v="1"/>
    <x v="5"/>
  </r>
  <r>
    <n v="531"/>
    <s v="Gowtham"/>
    <x v="135"/>
    <s v="Driving School"/>
    <x v="28"/>
    <n v="2500"/>
    <n v="0"/>
    <n v="-2500"/>
    <n v="0"/>
    <x v="8"/>
    <x v="0"/>
    <x v="1"/>
    <x v="5"/>
  </r>
  <r>
    <n v="532"/>
    <s v="Gowtham"/>
    <x v="135"/>
    <s v="Milk"/>
    <x v="1"/>
    <n v="14"/>
    <n v="0"/>
    <n v="-14"/>
    <n v="0"/>
    <x v="1"/>
    <x v="0"/>
    <x v="1"/>
    <x v="5"/>
  </r>
  <r>
    <n v="533"/>
    <s v="Renuka"/>
    <x v="135"/>
    <s v="Big Market"/>
    <x v="1"/>
    <n v="1339.5"/>
    <n v="0"/>
    <n v="-1339.5"/>
    <n v="0"/>
    <x v="1"/>
    <x v="0"/>
    <x v="1"/>
    <x v="5"/>
  </r>
  <r>
    <n v="534"/>
    <s v="Renuka"/>
    <x v="135"/>
    <s v="Biriyani Corner"/>
    <x v="2"/>
    <n v="270"/>
    <n v="0"/>
    <n v="-270"/>
    <n v="0"/>
    <x v="1"/>
    <x v="0"/>
    <x v="1"/>
    <x v="5"/>
  </r>
  <r>
    <n v="535"/>
    <s v="Renuka"/>
    <x v="135"/>
    <s v="Chilli Chicken"/>
    <x v="2"/>
    <n v="200"/>
    <n v="0"/>
    <n v="-200"/>
    <n v="0"/>
    <x v="1"/>
    <x v="0"/>
    <x v="1"/>
    <x v="5"/>
  </r>
  <r>
    <n v="536"/>
    <s v="Gowtham"/>
    <x v="136"/>
    <s v="Sandal for Renu"/>
    <x v="14"/>
    <n v="550"/>
    <n v="0"/>
    <n v="-550"/>
    <n v="0"/>
    <x v="1"/>
    <x v="0"/>
    <x v="1"/>
    <x v="5"/>
  </r>
  <r>
    <n v="537"/>
    <s v="Gowtham"/>
    <x v="136"/>
    <s v="Naturals"/>
    <x v="26"/>
    <n v="578"/>
    <n v="0"/>
    <n v="-578"/>
    <n v="0"/>
    <x v="1"/>
    <x v="0"/>
    <x v="1"/>
    <x v="5"/>
  </r>
  <r>
    <n v="538"/>
    <s v="Gowtham"/>
    <x v="136"/>
    <s v="Snacks"/>
    <x v="2"/>
    <n v="40"/>
    <n v="0"/>
    <n v="-40"/>
    <n v="0"/>
    <x v="1"/>
    <x v="0"/>
    <x v="1"/>
    <x v="5"/>
  </r>
  <r>
    <n v="539"/>
    <s v="Gowtham"/>
    <x v="136"/>
    <s v="Tea"/>
    <x v="2"/>
    <n v="45"/>
    <n v="0"/>
    <n v="-45"/>
    <n v="0"/>
    <x v="1"/>
    <x v="0"/>
    <x v="1"/>
    <x v="5"/>
  </r>
  <r>
    <n v="540"/>
    <s v="Gowtham"/>
    <x v="136"/>
    <s v="Mutton"/>
    <x v="1"/>
    <n v="450"/>
    <n v="0"/>
    <n v="-450"/>
    <n v="0"/>
    <x v="1"/>
    <x v="0"/>
    <x v="1"/>
    <x v="5"/>
  </r>
  <r>
    <n v="541"/>
    <s v="Renuka"/>
    <x v="136"/>
    <s v="Threading"/>
    <x v="26"/>
    <n v="50"/>
    <n v="0"/>
    <n v="-50"/>
    <n v="0"/>
    <x v="1"/>
    <x v="0"/>
    <x v="1"/>
    <x v="5"/>
  </r>
  <r>
    <n v="542"/>
    <s v="Gowtham"/>
    <x v="137"/>
    <s v="Milk"/>
    <x v="1"/>
    <n v="55"/>
    <n v="0"/>
    <n v="-55"/>
    <n v="0"/>
    <x v="1"/>
    <x v="0"/>
    <x v="1"/>
    <x v="5"/>
  </r>
  <r>
    <n v="543"/>
    <s v="Renuka"/>
    <x v="137"/>
    <s v="Selvarani Current bill"/>
    <x v="19"/>
    <n v="167"/>
    <n v="0"/>
    <n v="-167"/>
    <n v="0"/>
    <x v="9"/>
    <x v="0"/>
    <x v="1"/>
    <x v="5"/>
  </r>
  <r>
    <n v="544"/>
    <s v="Gowtham"/>
    <x v="138"/>
    <s v="Chicken"/>
    <x v="1"/>
    <n v="100"/>
    <n v="0"/>
    <n v="-100"/>
    <n v="0"/>
    <x v="1"/>
    <x v="0"/>
    <x v="1"/>
    <x v="5"/>
  </r>
  <r>
    <n v="545"/>
    <s v="Renuka"/>
    <x v="138"/>
    <s v="Gift to Gowtham"/>
    <x v="29"/>
    <n v="306"/>
    <n v="0"/>
    <n v="-306"/>
    <n v="0"/>
    <x v="11"/>
    <x v="0"/>
    <x v="1"/>
    <x v="5"/>
  </r>
  <r>
    <n v="546"/>
    <s v="Gowtham"/>
    <x v="139"/>
    <s v="Milk"/>
    <x v="1"/>
    <n v="37"/>
    <n v="0"/>
    <n v="-37"/>
    <n v="0"/>
    <x v="1"/>
    <x v="0"/>
    <x v="1"/>
    <x v="5"/>
  </r>
  <r>
    <n v="547"/>
    <s v="Gowtham"/>
    <x v="139"/>
    <s v="Selvarani loan"/>
    <x v="12"/>
    <n v="5093"/>
    <n v="0"/>
    <n v="-5093"/>
    <n v="0"/>
    <x v="4"/>
    <x v="0"/>
    <x v="1"/>
    <x v="5"/>
  </r>
  <r>
    <n v="548"/>
    <s v="Gowtham"/>
    <x v="139"/>
    <s v="Deream Cake"/>
    <x v="29"/>
    <n v="499"/>
    <n v="0"/>
    <n v="-499"/>
    <n v="0"/>
    <x v="11"/>
    <x v="0"/>
    <x v="1"/>
    <x v="5"/>
  </r>
  <r>
    <n v="549"/>
    <s v="Renuka"/>
    <x v="139"/>
    <s v="From Kasanthamani"/>
    <x v="36"/>
    <n v="0"/>
    <n v="5000"/>
    <n v="5000"/>
    <n v="0"/>
    <x v="14"/>
    <x v="1"/>
    <x v="1"/>
    <x v="5"/>
  </r>
  <r>
    <n v="550"/>
    <s v="Renuka"/>
    <x v="139"/>
    <s v="Flipkart"/>
    <x v="1"/>
    <n v="427"/>
    <n v="0"/>
    <n v="-427"/>
    <n v="0"/>
    <x v="1"/>
    <x v="0"/>
    <x v="1"/>
    <x v="5"/>
  </r>
  <r>
    <n v="551"/>
    <s v="Renuka"/>
    <x v="139"/>
    <s v="From Accenture"/>
    <x v="9"/>
    <n v="0"/>
    <n v="1096"/>
    <n v="1096"/>
    <n v="0"/>
    <x v="3"/>
    <x v="1"/>
    <x v="1"/>
    <x v="5"/>
  </r>
  <r>
    <n v="552"/>
    <s v="Gowtham"/>
    <x v="140"/>
    <s v="Milk"/>
    <x v="2"/>
    <n v="55"/>
    <n v="0"/>
    <n v="-55"/>
    <n v="0"/>
    <x v="1"/>
    <x v="0"/>
    <x v="1"/>
    <x v="5"/>
  </r>
  <r>
    <n v="553"/>
    <s v="Gowtham"/>
    <x v="141"/>
    <s v="Sugar"/>
    <x v="1"/>
    <n v="55"/>
    <n v="0"/>
    <n v="-55"/>
    <n v="0"/>
    <x v="1"/>
    <x v="0"/>
    <x v="1"/>
    <x v="5"/>
  </r>
  <r>
    <n v="554"/>
    <s v="Gowtham"/>
    <x v="141"/>
    <s v="Milk &amp; Snacks"/>
    <x v="1"/>
    <n v="58"/>
    <n v="0"/>
    <n v="-58"/>
    <n v="0"/>
    <x v="1"/>
    <x v="0"/>
    <x v="1"/>
    <x v="5"/>
  </r>
  <r>
    <n v="555"/>
    <s v="Gowtham"/>
    <x v="141"/>
    <s v="Eating Out"/>
    <x v="2"/>
    <n v="440"/>
    <n v="0"/>
    <n v="-440"/>
    <n v="0"/>
    <x v="1"/>
    <x v="0"/>
    <x v="1"/>
    <x v="5"/>
  </r>
  <r>
    <n v="556"/>
    <s v="Gowtham"/>
    <x v="141"/>
    <s v="Zudio"/>
    <x v="14"/>
    <n v="599"/>
    <n v="0"/>
    <n v="-599"/>
    <n v="0"/>
    <x v="1"/>
    <x v="0"/>
    <x v="1"/>
    <x v="5"/>
  </r>
  <r>
    <n v="557"/>
    <s v="Gowtham"/>
    <x v="141"/>
    <s v="Zudio"/>
    <x v="26"/>
    <n v="228"/>
    <n v="0"/>
    <n v="-228"/>
    <n v="0"/>
    <x v="1"/>
    <x v="0"/>
    <x v="1"/>
    <x v="5"/>
  </r>
  <r>
    <n v="558"/>
    <s v="Gowtham"/>
    <x v="142"/>
    <s v="Milk"/>
    <x v="1"/>
    <n v="37"/>
    <n v="0"/>
    <n v="-37"/>
    <n v="0"/>
    <x v="1"/>
    <x v="0"/>
    <x v="1"/>
    <x v="5"/>
  </r>
  <r>
    <n v="559"/>
    <s v="Gowtham"/>
    <x v="142"/>
    <s v="Juice"/>
    <x v="2"/>
    <n v="60"/>
    <n v="0"/>
    <n v="-60"/>
    <n v="0"/>
    <x v="1"/>
    <x v="0"/>
    <x v="1"/>
    <x v="5"/>
  </r>
  <r>
    <n v="560"/>
    <s v="Gowtham"/>
    <x v="142"/>
    <s v="Juice"/>
    <x v="2"/>
    <n v="50"/>
    <n v="0"/>
    <n v="-50"/>
    <n v="0"/>
    <x v="1"/>
    <x v="0"/>
    <x v="1"/>
    <x v="5"/>
  </r>
  <r>
    <n v="561"/>
    <s v="Gowtham"/>
    <x v="142"/>
    <s v="Wifi-Selvarani"/>
    <x v="13"/>
    <n v="352.82"/>
    <n v="0"/>
    <n v="-352.82"/>
    <n v="0"/>
    <x v="7"/>
    <x v="0"/>
    <x v="1"/>
    <x v="5"/>
  </r>
  <r>
    <n v="562"/>
    <s v="Gowtham"/>
    <x v="142"/>
    <s v="Nandhini Delux"/>
    <x v="2"/>
    <n v="1225"/>
    <n v="0"/>
    <n v="-1225"/>
    <n v="0"/>
    <x v="1"/>
    <x v="0"/>
    <x v="1"/>
    <x v="5"/>
  </r>
  <r>
    <n v="563"/>
    <s v="Gowtham"/>
    <x v="142"/>
    <s v="Movie"/>
    <x v="15"/>
    <n v="820"/>
    <n v="0"/>
    <n v="-820"/>
    <n v="0"/>
    <x v="8"/>
    <x v="0"/>
    <x v="1"/>
    <x v="5"/>
  </r>
  <r>
    <n v="564"/>
    <s v="Gowtham"/>
    <x v="142"/>
    <s v="Mall Parking"/>
    <x v="15"/>
    <n v="120"/>
    <n v="0"/>
    <n v="-120"/>
    <n v="0"/>
    <x v="8"/>
    <x v="0"/>
    <x v="1"/>
    <x v="5"/>
  </r>
  <r>
    <n v="565"/>
    <s v="Gowtham"/>
    <x v="142"/>
    <s v="KFC"/>
    <x v="2"/>
    <n v="417.9"/>
    <n v="0"/>
    <n v="-417.9"/>
    <n v="0"/>
    <x v="1"/>
    <x v="0"/>
    <x v="1"/>
    <x v="5"/>
  </r>
  <r>
    <n v="566"/>
    <s v="Gowtham"/>
    <x v="142"/>
    <s v="PVR Inox"/>
    <x v="15"/>
    <n v="55"/>
    <n v="0"/>
    <n v="-55"/>
    <n v="0"/>
    <x v="8"/>
    <x v="0"/>
    <x v="1"/>
    <x v="5"/>
  </r>
  <r>
    <n v="567"/>
    <s v="Renuka"/>
    <x v="142"/>
    <s v="Massager"/>
    <x v="29"/>
    <n v="2195"/>
    <n v="0"/>
    <n v="-2195"/>
    <n v="0"/>
    <x v="11"/>
    <x v="0"/>
    <x v="1"/>
    <x v="5"/>
  </r>
  <r>
    <n v="568"/>
    <s v="Renuka"/>
    <x v="142"/>
    <s v="From Selvarani"/>
    <x v="10"/>
    <n v="0"/>
    <n v="5000"/>
    <n v="5000"/>
    <n v="0"/>
    <x v="6"/>
    <x v="1"/>
    <x v="1"/>
    <x v="5"/>
  </r>
  <r>
    <n v="569"/>
    <s v="Renuka"/>
    <x v="142"/>
    <s v="Sagar Tex"/>
    <x v="14"/>
    <n v="851"/>
    <n v="0"/>
    <n v="-851"/>
    <n v="0"/>
    <x v="1"/>
    <x v="0"/>
    <x v="1"/>
    <x v="5"/>
  </r>
  <r>
    <n v="570"/>
    <s v="Renuka"/>
    <x v="142"/>
    <s v="Muskan Fashion"/>
    <x v="14"/>
    <n v="780"/>
    <n v="0"/>
    <n v="-780"/>
    <n v="0"/>
    <x v="1"/>
    <x v="0"/>
    <x v="1"/>
    <x v="5"/>
  </r>
  <r>
    <n v="571"/>
    <s v="Gowtham"/>
    <x v="143"/>
    <s v="Fish"/>
    <x v="1"/>
    <n v="198"/>
    <n v="0"/>
    <n v="-198"/>
    <n v="0"/>
    <x v="1"/>
    <x v="0"/>
    <x v="1"/>
    <x v="5"/>
  </r>
  <r>
    <n v="572"/>
    <s v="Gowtham"/>
    <x v="143"/>
    <s v="House Rent"/>
    <x v="17"/>
    <n v="15500"/>
    <n v="0"/>
    <n v="-15500"/>
    <n v="0"/>
    <x v="9"/>
    <x v="0"/>
    <x v="1"/>
    <x v="5"/>
  </r>
  <r>
    <n v="573"/>
    <s v="Gowtham"/>
    <x v="143"/>
    <s v="Water"/>
    <x v="18"/>
    <n v="250"/>
    <n v="0"/>
    <n v="-250"/>
    <n v="0"/>
    <x v="9"/>
    <x v="0"/>
    <x v="1"/>
    <x v="5"/>
  </r>
  <r>
    <n v="574"/>
    <s v="Gowtham"/>
    <x v="143"/>
    <s v="Electricity"/>
    <x v="19"/>
    <n v="817"/>
    <n v="0"/>
    <n v="-817"/>
    <n v="0"/>
    <x v="9"/>
    <x v="0"/>
    <x v="1"/>
    <x v="5"/>
  </r>
  <r>
    <n v="575"/>
    <s v="Renuka"/>
    <x v="143"/>
    <s v="Milk &amp; Curd"/>
    <x v="2"/>
    <n v="55"/>
    <n v="0"/>
    <n v="-55"/>
    <n v="0"/>
    <x v="1"/>
    <x v="0"/>
    <x v="1"/>
    <x v="5"/>
  </r>
  <r>
    <n v="576"/>
    <s v="Gowtham"/>
    <x v="144"/>
    <s v="Watch repair"/>
    <x v="0"/>
    <n v="170"/>
    <n v="0"/>
    <n v="-170"/>
    <n v="0"/>
    <x v="0"/>
    <x v="0"/>
    <x v="1"/>
    <x v="5"/>
  </r>
  <r>
    <n v="577"/>
    <s v="Gowtham"/>
    <x v="144"/>
    <s v="Water Wash"/>
    <x v="0"/>
    <n v="200"/>
    <n v="0"/>
    <n v="-200"/>
    <n v="0"/>
    <x v="0"/>
    <x v="0"/>
    <x v="1"/>
    <x v="5"/>
  </r>
  <r>
    <n v="578"/>
    <s v="Gowtham"/>
    <x v="145"/>
    <s v="Milk"/>
    <x v="1"/>
    <n v="27"/>
    <n v="0"/>
    <n v="-27"/>
    <n v="0"/>
    <x v="1"/>
    <x v="0"/>
    <x v="1"/>
    <x v="5"/>
  </r>
  <r>
    <n v="579"/>
    <s v="Renuka"/>
    <x v="145"/>
    <s v="Marriage Reg. for Vasanth"/>
    <x v="21"/>
    <n v="245"/>
    <n v="0"/>
    <n v="-245"/>
    <n v="0"/>
    <x v="7"/>
    <x v="0"/>
    <x v="1"/>
    <x v="5"/>
  </r>
  <r>
    <n v="580"/>
    <s v="Gowtham"/>
    <x v="146"/>
    <s v="Milk &amp; Snacks"/>
    <x v="1"/>
    <n v="38"/>
    <n v="0"/>
    <n v="-38"/>
    <n v="0"/>
    <x v="1"/>
    <x v="0"/>
    <x v="1"/>
    <x v="5"/>
  </r>
  <r>
    <n v="581"/>
    <s v="Gowtham"/>
    <x v="146"/>
    <s v="Rapido"/>
    <x v="5"/>
    <n v="96"/>
    <n v="0"/>
    <n v="-96"/>
    <n v="0"/>
    <x v="0"/>
    <x v="0"/>
    <x v="1"/>
    <x v="5"/>
  </r>
  <r>
    <n v="582"/>
    <s v="Renuka"/>
    <x v="146"/>
    <s v="Popeyes"/>
    <x v="2"/>
    <n v="875"/>
    <n v="0"/>
    <n v="-875"/>
    <n v="0"/>
    <x v="1"/>
    <x v="0"/>
    <x v="1"/>
    <x v="5"/>
  </r>
  <r>
    <n v="583"/>
    <s v="Gowtham"/>
    <x v="147"/>
    <s v="Zerodha"/>
    <x v="8"/>
    <n v="20000"/>
    <n v="0"/>
    <n v="-20000"/>
    <n v="0"/>
    <x v="5"/>
    <x v="2"/>
    <x v="1"/>
    <x v="5"/>
  </r>
  <r>
    <n v="584"/>
    <s v="Gowtham"/>
    <x v="147"/>
    <s v="To Vasanth"/>
    <x v="33"/>
    <n v="40000"/>
    <n v="0"/>
    <n v="-40000"/>
    <n v="0"/>
    <x v="13"/>
    <x v="0"/>
    <x v="1"/>
    <x v="5"/>
  </r>
  <r>
    <n v="585"/>
    <s v="Renuka"/>
    <x v="147"/>
    <s v="Swiggy Instamart"/>
    <x v="1"/>
    <n v="207"/>
    <n v="0"/>
    <n v="-207"/>
    <n v="0"/>
    <x v="1"/>
    <x v="0"/>
    <x v="1"/>
    <x v="5"/>
  </r>
  <r>
    <n v="586"/>
    <s v="Gowtham"/>
    <x v="148"/>
    <s v="Milk &amp; Curd"/>
    <x v="1"/>
    <n v="55"/>
    <n v="0"/>
    <n v="-55"/>
    <n v="0"/>
    <x v="1"/>
    <x v="0"/>
    <x v="1"/>
    <x v="5"/>
  </r>
  <r>
    <n v="587"/>
    <s v="Renuka"/>
    <x v="148"/>
    <s v="Snacks"/>
    <x v="2"/>
    <n v="198"/>
    <n v="0"/>
    <n v="-198"/>
    <n v="0"/>
    <x v="1"/>
    <x v="0"/>
    <x v="1"/>
    <x v="5"/>
  </r>
  <r>
    <n v="588"/>
    <s v="Renuka"/>
    <x v="148"/>
    <s v="Snacks"/>
    <x v="2"/>
    <n v="130"/>
    <n v="0"/>
    <n v="-130"/>
    <n v="0"/>
    <x v="1"/>
    <x v="0"/>
    <x v="1"/>
    <x v="5"/>
  </r>
  <r>
    <n v="589"/>
    <s v="Gowtham"/>
    <x v="149"/>
    <s v="Milk"/>
    <x v="1"/>
    <n v="27"/>
    <n v="0"/>
    <n v="-27"/>
    <n v="0"/>
    <x v="1"/>
    <x v="0"/>
    <x v="1"/>
    <x v="5"/>
  </r>
  <r>
    <n v="590"/>
    <s v="Gowtham"/>
    <x v="149"/>
    <s v="Vada Paruppu"/>
    <x v="1"/>
    <n v="60"/>
    <n v="0"/>
    <n v="-60"/>
    <n v="0"/>
    <x v="1"/>
    <x v="0"/>
    <x v="1"/>
    <x v="5"/>
  </r>
  <r>
    <n v="591"/>
    <s v="Gowtham"/>
    <x v="149"/>
    <s v="Sunflower Oil"/>
    <x v="1"/>
    <n v="220"/>
    <n v="0"/>
    <n v="-220"/>
    <n v="0"/>
    <x v="1"/>
    <x v="0"/>
    <x v="1"/>
    <x v="5"/>
  </r>
  <r>
    <n v="592"/>
    <s v="Gowtham"/>
    <x v="149"/>
    <s v="Curd"/>
    <x v="1"/>
    <n v="28"/>
    <n v="0"/>
    <n v="-28"/>
    <n v="0"/>
    <x v="1"/>
    <x v="0"/>
    <x v="1"/>
    <x v="5"/>
  </r>
  <r>
    <n v="593"/>
    <s v="Gowtham"/>
    <x v="149"/>
    <s v="You tube Movie"/>
    <x v="15"/>
    <n v="50"/>
    <n v="0"/>
    <n v="-50"/>
    <n v="0"/>
    <x v="8"/>
    <x v="0"/>
    <x v="1"/>
    <x v="5"/>
  </r>
  <r>
    <n v="594"/>
    <s v="Gowtham"/>
    <x v="150"/>
    <s v="Mutton &amp; Prawn"/>
    <x v="1"/>
    <n v="960"/>
    <n v="0"/>
    <n v="-960"/>
    <n v="0"/>
    <x v="1"/>
    <x v="0"/>
    <x v="1"/>
    <x v="5"/>
  </r>
  <r>
    <n v="595"/>
    <s v="Gowtham"/>
    <x v="150"/>
    <s v="Milk &amp; Curd"/>
    <x v="1"/>
    <n v="30"/>
    <n v="0"/>
    <n v="-30"/>
    <n v="0"/>
    <x v="1"/>
    <x v="0"/>
    <x v="1"/>
    <x v="5"/>
  </r>
  <r>
    <n v="596"/>
    <s v="Renuka"/>
    <x v="150"/>
    <s v="Cake Items"/>
    <x v="1"/>
    <n v="732"/>
    <n v="0"/>
    <n v="-732"/>
    <n v="0"/>
    <x v="1"/>
    <x v="0"/>
    <x v="1"/>
    <x v="5"/>
  </r>
  <r>
    <n v="597"/>
    <s v="Renuka"/>
    <x v="150"/>
    <s v="From Selvarani"/>
    <x v="34"/>
    <n v="0"/>
    <n v="3600"/>
    <n v="3600"/>
    <n v="0"/>
    <x v="14"/>
    <x v="1"/>
    <x v="1"/>
    <x v="5"/>
  </r>
  <r>
    <n v="598"/>
    <s v="Renuka"/>
    <x v="150"/>
    <s v="Metti"/>
    <x v="22"/>
    <n v="3600"/>
    <n v="0"/>
    <n v="-3600"/>
    <n v="0"/>
    <x v="1"/>
    <x v="0"/>
    <x v="1"/>
    <x v="5"/>
  </r>
  <r>
    <n v="599"/>
    <s v="Renuka"/>
    <x v="150"/>
    <s v="Dress"/>
    <x v="14"/>
    <n v="850"/>
    <n v="0"/>
    <n v="-850"/>
    <n v="0"/>
    <x v="1"/>
    <x v="0"/>
    <x v="1"/>
    <x v="5"/>
  </r>
  <r>
    <n v="600"/>
    <s v="Renuka"/>
    <x v="151"/>
    <s v="LLR Application Fee"/>
    <x v="21"/>
    <n v="180"/>
    <n v="0"/>
    <n v="-180"/>
    <n v="0"/>
    <x v="7"/>
    <x v="0"/>
    <x v="1"/>
    <x v="5"/>
  </r>
  <r>
    <n v="601"/>
    <s v="Renuka"/>
    <x v="151"/>
    <s v="Grocerries"/>
    <x v="1"/>
    <n v="180"/>
    <n v="0"/>
    <n v="-180"/>
    <n v="0"/>
    <x v="1"/>
    <x v="0"/>
    <x v="1"/>
    <x v="5"/>
  </r>
  <r>
    <n v="602"/>
    <s v="Gowtham"/>
    <x v="152"/>
    <s v="Arav Farms"/>
    <x v="1"/>
    <n v="62"/>
    <n v="0"/>
    <n v="-62"/>
    <n v="0"/>
    <x v="1"/>
    <x v="0"/>
    <x v="1"/>
    <x v="5"/>
  </r>
  <r>
    <n v="603"/>
    <s v="Gowtham"/>
    <x v="152"/>
    <s v="Renu Recharge"/>
    <x v="13"/>
    <n v="990"/>
    <n v="0"/>
    <n v="-990"/>
    <n v="0"/>
    <x v="7"/>
    <x v="0"/>
    <x v="1"/>
    <x v="5"/>
  </r>
  <r>
    <n v="604"/>
    <s v="Gowtham"/>
    <x v="152"/>
    <s v="Parimala Rechagre"/>
    <x v="13"/>
    <n v="809"/>
    <n v="0"/>
    <n v="-809"/>
    <n v="0"/>
    <x v="7"/>
    <x v="0"/>
    <x v="1"/>
    <x v="5"/>
  </r>
  <r>
    <n v="605"/>
    <s v="Gowtham"/>
    <x v="152"/>
    <s v="Pregnency Test kit"/>
    <x v="20"/>
    <n v="56"/>
    <n v="0"/>
    <n v="-56"/>
    <n v="0"/>
    <x v="10"/>
    <x v="0"/>
    <x v="1"/>
    <x v="5"/>
  </r>
  <r>
    <n v="606"/>
    <s v="Gowtham"/>
    <x v="152"/>
    <s v="Grocerries"/>
    <x v="1"/>
    <n v="40"/>
    <n v="0"/>
    <n v="-40"/>
    <n v="0"/>
    <x v="1"/>
    <x v="0"/>
    <x v="1"/>
    <x v="5"/>
  </r>
  <r>
    <n v="607"/>
    <s v="Gowtham"/>
    <x v="153"/>
    <s v="Redbus to Bhavani"/>
    <x v="5"/>
    <n v="3069"/>
    <n v="0"/>
    <n v="-3069"/>
    <n v="0"/>
    <x v="0"/>
    <x v="0"/>
    <x v="1"/>
    <x v="5"/>
  </r>
  <r>
    <n v="608"/>
    <s v="Gowtham"/>
    <x v="153"/>
    <s v="Pregnency Test kit"/>
    <x v="20"/>
    <n v="56"/>
    <n v="0"/>
    <n v="-56"/>
    <n v="0"/>
    <x v="10"/>
    <x v="0"/>
    <x v="1"/>
    <x v="5"/>
  </r>
  <r>
    <n v="609"/>
    <s v="Gowtham"/>
    <x v="153"/>
    <s v="Snacks"/>
    <x v="2"/>
    <n v="45"/>
    <n v="0"/>
    <n v="-45"/>
    <n v="0"/>
    <x v="1"/>
    <x v="0"/>
    <x v="1"/>
    <x v="5"/>
  </r>
  <r>
    <n v="610"/>
    <s v="Renuka"/>
    <x v="153"/>
    <s v="Flipkart"/>
    <x v="1"/>
    <n v="285"/>
    <n v="0"/>
    <n v="-285"/>
    <n v="0"/>
    <x v="1"/>
    <x v="0"/>
    <x v="1"/>
    <x v="5"/>
  </r>
  <r>
    <n v="611"/>
    <s v="Renuka"/>
    <x v="153"/>
    <s v="Cab"/>
    <x v="5"/>
    <n v="120"/>
    <n v="0"/>
    <n v="-120"/>
    <n v="0"/>
    <x v="0"/>
    <x v="0"/>
    <x v="1"/>
    <x v="5"/>
  </r>
  <r>
    <n v="612"/>
    <s v="Renuka"/>
    <x v="154"/>
    <s v="Bus"/>
    <x v="5"/>
    <n v="32"/>
    <n v="0"/>
    <n v="-32"/>
    <n v="0"/>
    <x v="0"/>
    <x v="0"/>
    <x v="1"/>
    <x v="5"/>
  </r>
  <r>
    <n v="613"/>
    <s v="Gowtham"/>
    <x v="155"/>
    <s v="Water &amp; Soap"/>
    <x v="22"/>
    <n v="280"/>
    <n v="0"/>
    <n v="-280"/>
    <n v="0"/>
    <x v="1"/>
    <x v="0"/>
    <x v="1"/>
    <x v="5"/>
  </r>
  <r>
    <n v="614"/>
    <s v="Gowtham"/>
    <x v="155"/>
    <s v="Golden Bakery"/>
    <x v="2"/>
    <n v="40"/>
    <n v="0"/>
    <n v="-40"/>
    <n v="0"/>
    <x v="1"/>
    <x v="0"/>
    <x v="1"/>
    <x v="5"/>
  </r>
  <r>
    <n v="615"/>
    <s v="Renuka"/>
    <x v="155"/>
    <s v="Parotta"/>
    <x v="2"/>
    <n v="80"/>
    <n v="0"/>
    <n v="-80"/>
    <n v="0"/>
    <x v="1"/>
    <x v="0"/>
    <x v="1"/>
    <x v="5"/>
  </r>
  <r>
    <n v="616"/>
    <s v="Renuka"/>
    <x v="155"/>
    <s v="Chicken Rice"/>
    <x v="2"/>
    <n v="150"/>
    <n v="0"/>
    <n v="-150"/>
    <n v="0"/>
    <x v="1"/>
    <x v="0"/>
    <x v="1"/>
    <x v="5"/>
  </r>
  <r>
    <n v="617"/>
    <s v="Gowtham"/>
    <x v="156"/>
    <s v="To selvarani"/>
    <x v="12"/>
    <n v="200"/>
    <n v="0"/>
    <n v="-200"/>
    <n v="0"/>
    <x v="4"/>
    <x v="0"/>
    <x v="1"/>
    <x v="5"/>
  </r>
  <r>
    <n v="618"/>
    <s v="Gowtham"/>
    <x v="156"/>
    <s v="Redbus to BG"/>
    <x v="5"/>
    <n v="1050"/>
    <n v="0"/>
    <n v="-1050"/>
    <n v="0"/>
    <x v="0"/>
    <x v="0"/>
    <x v="1"/>
    <x v="5"/>
  </r>
  <r>
    <n v="619"/>
    <s v="Gowtham"/>
    <x v="157"/>
    <s v="Rapido"/>
    <x v="5"/>
    <n v="260"/>
    <n v="0"/>
    <n v="-260"/>
    <n v="0"/>
    <x v="0"/>
    <x v="0"/>
    <x v="1"/>
    <x v="5"/>
  </r>
  <r>
    <n v="620"/>
    <s v="Gowtham"/>
    <x v="157"/>
    <s v="Zepto"/>
    <x v="1"/>
    <n v="559"/>
    <n v="0"/>
    <n v="-559"/>
    <n v="0"/>
    <x v="1"/>
    <x v="0"/>
    <x v="1"/>
    <x v="5"/>
  </r>
  <r>
    <n v="621"/>
    <s v="Gowtham"/>
    <x v="157"/>
    <s v="CAB for Savitha"/>
    <x v="5"/>
    <n v="890"/>
    <n v="0"/>
    <n v="-890"/>
    <n v="0"/>
    <x v="0"/>
    <x v="0"/>
    <x v="1"/>
    <x v="5"/>
  </r>
  <r>
    <n v="622"/>
    <s v="Renuka"/>
    <x v="157"/>
    <s v="Thangamayil"/>
    <x v="0"/>
    <n v="100"/>
    <n v="0"/>
    <n v="-100"/>
    <n v="0"/>
    <x v="0"/>
    <x v="0"/>
    <x v="1"/>
    <x v="5"/>
  </r>
  <r>
    <n v="623"/>
    <s v="Gowtham"/>
    <x v="158"/>
    <s v="Milk"/>
    <x v="1"/>
    <n v="30"/>
    <n v="0"/>
    <n v="-30"/>
    <n v="0"/>
    <x v="1"/>
    <x v="0"/>
    <x v="1"/>
    <x v="5"/>
  </r>
  <r>
    <n v="624"/>
    <s v="Gowtham"/>
    <x v="158"/>
    <s v="Juice"/>
    <x v="2"/>
    <n v="208"/>
    <n v="0"/>
    <n v="-208"/>
    <n v="0"/>
    <x v="1"/>
    <x v="0"/>
    <x v="1"/>
    <x v="5"/>
  </r>
  <r>
    <n v="625"/>
    <s v="Gowtham"/>
    <x v="158"/>
    <s v="Snacks at Hari sandwhich"/>
    <x v="2"/>
    <n v="360"/>
    <n v="0"/>
    <n v="-360"/>
    <n v="0"/>
    <x v="1"/>
    <x v="0"/>
    <x v="1"/>
    <x v="5"/>
  </r>
  <r>
    <n v="626"/>
    <s v="Gowtham"/>
    <x v="158"/>
    <s v="Big Market-Tools Box"/>
    <x v="16"/>
    <n v="200"/>
    <n v="0"/>
    <n v="-200"/>
    <n v="0"/>
    <x v="9"/>
    <x v="0"/>
    <x v="1"/>
    <x v="5"/>
  </r>
  <r>
    <n v="627"/>
    <s v="Gowtham"/>
    <x v="158"/>
    <s v="Big Market-Savitha"/>
    <x v="29"/>
    <n v="1149"/>
    <n v="0"/>
    <n v="-1149"/>
    <n v="0"/>
    <x v="11"/>
    <x v="0"/>
    <x v="1"/>
    <x v="5"/>
  </r>
  <r>
    <n v="628"/>
    <s v="Gowtham"/>
    <x v="158"/>
    <s v="Shawarma"/>
    <x v="2"/>
    <n v="80"/>
    <n v="0"/>
    <n v="-80"/>
    <n v="0"/>
    <x v="1"/>
    <x v="0"/>
    <x v="1"/>
    <x v="5"/>
  </r>
  <r>
    <n v="629"/>
    <s v="Gowtham"/>
    <x v="159"/>
    <s v="Milk"/>
    <x v="1"/>
    <n v="26"/>
    <n v="0"/>
    <n v="-26"/>
    <n v="0"/>
    <x v="1"/>
    <x v="0"/>
    <x v="1"/>
    <x v="5"/>
  </r>
  <r>
    <n v="630"/>
    <s v="Gowtham"/>
    <x v="159"/>
    <s v="KFC"/>
    <x v="2"/>
    <n v="670"/>
    <n v="0"/>
    <n v="-670"/>
    <n v="0"/>
    <x v="1"/>
    <x v="0"/>
    <x v="1"/>
    <x v="5"/>
  </r>
  <r>
    <n v="631"/>
    <s v="Gowtham"/>
    <x v="159"/>
    <s v="Paani Poori"/>
    <x v="2"/>
    <n v="30"/>
    <n v="0"/>
    <n v="-30"/>
    <n v="0"/>
    <x v="1"/>
    <x v="0"/>
    <x v="1"/>
    <x v="5"/>
  </r>
  <r>
    <n v="632"/>
    <s v="Gowtham"/>
    <x v="159"/>
    <s v="Tea"/>
    <x v="2"/>
    <n v="30"/>
    <n v="0"/>
    <n v="-30"/>
    <n v="0"/>
    <x v="1"/>
    <x v="0"/>
    <x v="1"/>
    <x v="5"/>
  </r>
  <r>
    <n v="633"/>
    <s v="Gowtham"/>
    <x v="159"/>
    <s v="Cake"/>
    <x v="2"/>
    <n v="70"/>
    <n v="0"/>
    <n v="-70"/>
    <n v="0"/>
    <x v="1"/>
    <x v="0"/>
    <x v="1"/>
    <x v="5"/>
  </r>
  <r>
    <n v="634"/>
    <s v="Renuka"/>
    <x v="159"/>
    <s v="Thangamayil"/>
    <x v="8"/>
    <n v="12000"/>
    <n v="0"/>
    <n v="-12000"/>
    <n v="0"/>
    <x v="5"/>
    <x v="2"/>
    <x v="1"/>
    <x v="5"/>
  </r>
  <r>
    <n v="635"/>
    <s v="Gowtham"/>
    <x v="160"/>
    <s v="From Parimala"/>
    <x v="34"/>
    <n v="0"/>
    <n v="4800"/>
    <n v="4800"/>
    <n v="0"/>
    <x v="14"/>
    <x v="1"/>
    <x v="1"/>
    <x v="5"/>
  </r>
  <r>
    <n v="636"/>
    <s v="Gowtham"/>
    <x v="160"/>
    <s v="Milk"/>
    <x v="1"/>
    <n v="37"/>
    <n v="0"/>
    <n v="-37"/>
    <n v="0"/>
    <x v="1"/>
    <x v="0"/>
    <x v="1"/>
    <x v="5"/>
  </r>
  <r>
    <n v="637"/>
    <s v="Gowtham"/>
    <x v="160"/>
    <s v="Bus to Perambalur"/>
    <x v="5"/>
    <n v="324"/>
    <n v="0"/>
    <n v="-324"/>
    <n v="0"/>
    <x v="0"/>
    <x v="0"/>
    <x v="1"/>
    <x v="5"/>
  </r>
  <r>
    <n v="638"/>
    <s v="Gowtham"/>
    <x v="160"/>
    <s v="Water Bottle"/>
    <x v="1"/>
    <n v="10"/>
    <n v="0"/>
    <n v="-10"/>
    <n v="0"/>
    <x v="1"/>
    <x v="0"/>
    <x v="1"/>
    <x v="5"/>
  </r>
  <r>
    <n v="639"/>
    <s v="Gowtham"/>
    <x v="160"/>
    <s v="Taxi to D-Mart"/>
    <x v="5"/>
    <n v="220"/>
    <n v="0"/>
    <n v="-220"/>
    <n v="0"/>
    <x v="0"/>
    <x v="0"/>
    <x v="1"/>
    <x v="5"/>
  </r>
  <r>
    <n v="640"/>
    <s v="Gowtham"/>
    <x v="160"/>
    <s v="Dosa"/>
    <x v="2"/>
    <n v="10"/>
    <n v="0"/>
    <n v="-10"/>
    <n v="0"/>
    <x v="1"/>
    <x v="0"/>
    <x v="1"/>
    <x v="5"/>
  </r>
  <r>
    <n v="641"/>
    <s v="Gowtham"/>
    <x v="160"/>
    <s v="Bus to Perambalur"/>
    <x v="5"/>
    <n v="120"/>
    <n v="0"/>
    <n v="-120"/>
    <n v="0"/>
    <x v="0"/>
    <x v="0"/>
    <x v="1"/>
    <x v="5"/>
  </r>
  <r>
    <n v="642"/>
    <s v="Gowtham"/>
    <x v="160"/>
    <s v="Skate Shoes"/>
    <x v="29"/>
    <n v="1103"/>
    <n v="0"/>
    <n v="-1103"/>
    <n v="0"/>
    <x v="11"/>
    <x v="0"/>
    <x v="1"/>
    <x v="5"/>
  </r>
  <r>
    <n v="643"/>
    <s v="Gowtham"/>
    <x v="161"/>
    <s v="Salary Gowtham"/>
    <x v="6"/>
    <n v="0"/>
    <n v="57640"/>
    <n v="57640"/>
    <n v="0"/>
    <x v="3"/>
    <x v="1"/>
    <x v="1"/>
    <x v="6"/>
  </r>
  <r>
    <n v="644"/>
    <s v="Gowtham"/>
    <x v="161"/>
    <s v="Salary Renuka"/>
    <x v="9"/>
    <n v="0"/>
    <n v="48500"/>
    <n v="48500"/>
    <n v="0"/>
    <x v="3"/>
    <x v="1"/>
    <x v="1"/>
    <x v="6"/>
  </r>
  <r>
    <n v="645"/>
    <s v="Gowtham"/>
    <x v="161"/>
    <s v="IRCTC BG to ED"/>
    <x v="5"/>
    <n v="1065"/>
    <n v="0"/>
    <n v="-1065"/>
    <n v="0"/>
    <x v="0"/>
    <x v="0"/>
    <x v="1"/>
    <x v="6"/>
  </r>
  <r>
    <n v="646"/>
    <s v="Gowtham"/>
    <x v="161"/>
    <s v="House Rent"/>
    <x v="17"/>
    <n v="15500"/>
    <n v="0"/>
    <n v="-15500"/>
    <n v="0"/>
    <x v="9"/>
    <x v="0"/>
    <x v="1"/>
    <x v="6"/>
  </r>
  <r>
    <n v="647"/>
    <s v="Gowtham"/>
    <x v="161"/>
    <s v="Water"/>
    <x v="18"/>
    <n v="250"/>
    <n v="0"/>
    <n v="-250"/>
    <n v="0"/>
    <x v="9"/>
    <x v="0"/>
    <x v="1"/>
    <x v="6"/>
  </r>
  <r>
    <n v="648"/>
    <s v="Gowtham"/>
    <x v="161"/>
    <s v="Electricity"/>
    <x v="19"/>
    <n v="817"/>
    <n v="0"/>
    <n v="-817"/>
    <n v="0"/>
    <x v="9"/>
    <x v="0"/>
    <x v="1"/>
    <x v="6"/>
  </r>
  <r>
    <n v="649"/>
    <s v="Gowtham"/>
    <x v="162"/>
    <s v="Harshita HP"/>
    <x v="32"/>
    <n v="200"/>
    <n v="0"/>
    <n v="-200"/>
    <n v="0"/>
    <x v="10"/>
    <x v="0"/>
    <x v="1"/>
    <x v="6"/>
  </r>
  <r>
    <n v="650"/>
    <s v="Gowtham"/>
    <x v="162"/>
    <s v="Harshita HP"/>
    <x v="32"/>
    <n v="1000"/>
    <n v="0"/>
    <n v="-1000"/>
    <n v="0"/>
    <x v="10"/>
    <x v="0"/>
    <x v="1"/>
    <x v="6"/>
  </r>
  <r>
    <n v="651"/>
    <s v="Gowtham"/>
    <x v="162"/>
    <s v="Harshita HP"/>
    <x v="32"/>
    <n v="750"/>
    <n v="0"/>
    <n v="-750"/>
    <n v="0"/>
    <x v="10"/>
    <x v="0"/>
    <x v="1"/>
    <x v="6"/>
  </r>
  <r>
    <n v="652"/>
    <s v="Gowtham"/>
    <x v="162"/>
    <s v="Harshita HP"/>
    <x v="32"/>
    <n v="483"/>
    <n v="0"/>
    <n v="-483"/>
    <n v="0"/>
    <x v="10"/>
    <x v="0"/>
    <x v="1"/>
    <x v="6"/>
  </r>
  <r>
    <n v="653"/>
    <s v="Gowtham"/>
    <x v="162"/>
    <s v="Cab for Magesh"/>
    <x v="5"/>
    <n v="1500"/>
    <n v="0"/>
    <n v="-1500"/>
    <n v="0"/>
    <x v="0"/>
    <x v="0"/>
    <x v="1"/>
    <x v="6"/>
  </r>
  <r>
    <n v="654"/>
    <s v="Renuka"/>
    <x v="162"/>
    <s v="From Elanjiyam"/>
    <x v="36"/>
    <n v="0"/>
    <n v="3000"/>
    <n v="3000"/>
    <n v="0"/>
    <x v="14"/>
    <x v="1"/>
    <x v="1"/>
    <x v="6"/>
  </r>
  <r>
    <n v="655"/>
    <s v="Gowtham"/>
    <x v="163"/>
    <s v="Perambalur Shopping"/>
    <x v="1"/>
    <n v="80"/>
    <n v="0"/>
    <n v="-80"/>
    <n v="0"/>
    <x v="1"/>
    <x v="0"/>
    <x v="1"/>
    <x v="6"/>
  </r>
  <r>
    <n v="656"/>
    <s v="Gowtham"/>
    <x v="164"/>
    <s v="Petrol"/>
    <x v="3"/>
    <n v="100"/>
    <n v="0"/>
    <n v="-100"/>
    <n v="0"/>
    <x v="0"/>
    <x v="0"/>
    <x v="1"/>
    <x v="6"/>
  </r>
  <r>
    <n v="657"/>
    <s v="Gowtham"/>
    <x v="164"/>
    <s v="Harshita HP"/>
    <x v="32"/>
    <n v="300"/>
    <n v="0"/>
    <n v="-300"/>
    <n v="0"/>
    <x v="10"/>
    <x v="0"/>
    <x v="1"/>
    <x v="6"/>
  </r>
  <r>
    <n v="658"/>
    <s v="Gowtham"/>
    <x v="164"/>
    <s v="Harshita HP"/>
    <x v="32"/>
    <n v="454"/>
    <n v="0"/>
    <n v="-454"/>
    <n v="0"/>
    <x v="10"/>
    <x v="0"/>
    <x v="1"/>
    <x v="6"/>
  </r>
  <r>
    <n v="659"/>
    <s v="Gowtham"/>
    <x v="164"/>
    <s v="BG Naidu-Bun Butter Jam"/>
    <x v="2"/>
    <n v="175"/>
    <n v="0"/>
    <n v="-175"/>
    <n v="0"/>
    <x v="1"/>
    <x v="0"/>
    <x v="1"/>
    <x v="6"/>
  </r>
  <r>
    <n v="660"/>
    <s v="Gowtham"/>
    <x v="164"/>
    <s v="Lunch-Nalabagam"/>
    <x v="2"/>
    <n v="340"/>
    <n v="0"/>
    <n v="-340"/>
    <n v="0"/>
    <x v="1"/>
    <x v="0"/>
    <x v="1"/>
    <x v="6"/>
  </r>
  <r>
    <n v="661"/>
    <s v="Gowtham"/>
    <x v="164"/>
    <s v="Redbus Perambalur to BG"/>
    <x v="5"/>
    <n v="1945"/>
    <n v="0"/>
    <n v="-1945"/>
    <n v="0"/>
    <x v="0"/>
    <x v="0"/>
    <x v="1"/>
    <x v="6"/>
  </r>
  <r>
    <n v="662"/>
    <s v="Gowtham"/>
    <x v="165"/>
    <s v="IDFC CC"/>
    <x v="35"/>
    <n v="3395"/>
    <n v="0"/>
    <n v="-3395"/>
    <n v="0"/>
    <x v="13"/>
    <x v="0"/>
    <x v="1"/>
    <x v="6"/>
  </r>
  <r>
    <n v="663"/>
    <s v="Gowtham"/>
    <x v="165"/>
    <s v="IRCTC ED to BG"/>
    <x v="5"/>
    <n v="1352"/>
    <n v="0"/>
    <n v="-1352"/>
    <n v="0"/>
    <x v="0"/>
    <x v="0"/>
    <x v="1"/>
    <x v="6"/>
  </r>
  <r>
    <n v="664"/>
    <s v="Renuka"/>
    <x v="165"/>
    <s v="Zepto"/>
    <x v="1"/>
    <n v="1561"/>
    <n v="0"/>
    <n v="-1561"/>
    <n v="0"/>
    <x v="1"/>
    <x v="0"/>
    <x v="1"/>
    <x v="6"/>
  </r>
  <r>
    <n v="665"/>
    <s v="Renuka"/>
    <x v="165"/>
    <s v="Airtel Wifi"/>
    <x v="13"/>
    <n v="970"/>
    <n v="0"/>
    <n v="-970"/>
    <n v="0"/>
    <x v="7"/>
    <x v="0"/>
    <x v="1"/>
    <x v="6"/>
  </r>
  <r>
    <n v="666"/>
    <s v="Gowtham"/>
    <x v="166"/>
    <s v="Milk &amp; Snacks"/>
    <x v="1"/>
    <n v="68"/>
    <n v="0"/>
    <n v="-68"/>
    <n v="0"/>
    <x v="1"/>
    <x v="0"/>
    <x v="1"/>
    <x v="6"/>
  </r>
  <r>
    <n v="667"/>
    <s v="Gowtham"/>
    <x v="166"/>
    <s v="IDFC CC"/>
    <x v="35"/>
    <n v="19213"/>
    <n v="0"/>
    <n v="-19213"/>
    <n v="0"/>
    <x v="13"/>
    <x v="0"/>
    <x v="1"/>
    <x v="6"/>
  </r>
  <r>
    <n v="668"/>
    <s v="Gowtham"/>
    <x v="166"/>
    <s v="To Parimala"/>
    <x v="35"/>
    <n v="4800"/>
    <n v="0"/>
    <n v="-4800"/>
    <n v="0"/>
    <x v="13"/>
    <x v="0"/>
    <x v="1"/>
    <x v="6"/>
  </r>
  <r>
    <n v="669"/>
    <s v="Gowtham"/>
    <x v="166"/>
    <s v="To Parimala"/>
    <x v="11"/>
    <n v="5000"/>
    <n v="0"/>
    <n v="-5000"/>
    <n v="0"/>
    <x v="4"/>
    <x v="0"/>
    <x v="1"/>
    <x v="6"/>
  </r>
  <r>
    <n v="670"/>
    <s v="Gowtham"/>
    <x v="166"/>
    <s v="Shawarma"/>
    <x v="2"/>
    <n v="80"/>
    <n v="0"/>
    <n v="-80"/>
    <n v="0"/>
    <x v="1"/>
    <x v="0"/>
    <x v="1"/>
    <x v="6"/>
  </r>
  <r>
    <n v="671"/>
    <s v="Gowtham"/>
    <x v="166"/>
    <s v="Parotta"/>
    <x v="2"/>
    <n v="70"/>
    <n v="0"/>
    <n v="-70"/>
    <n v="0"/>
    <x v="1"/>
    <x v="0"/>
    <x v="1"/>
    <x v="6"/>
  </r>
  <r>
    <n v="672"/>
    <s v="Renuka"/>
    <x v="166"/>
    <s v="THE BIG MARKET"/>
    <x v="1"/>
    <n v="1057"/>
    <n v="0"/>
    <n v="-1057"/>
    <n v="0"/>
    <x v="1"/>
    <x v="0"/>
    <x v="1"/>
    <x v="6"/>
  </r>
  <r>
    <n v="673"/>
    <s v="Gowtham"/>
    <x v="167"/>
    <s v="To Selvarani"/>
    <x v="12"/>
    <n v="4621"/>
    <n v="0"/>
    <n v="-4621"/>
    <n v="0"/>
    <x v="4"/>
    <x v="0"/>
    <x v="1"/>
    <x v="6"/>
  </r>
  <r>
    <n v="674"/>
    <s v="Gowtham"/>
    <x v="167"/>
    <s v="Milk"/>
    <x v="1"/>
    <n v="27"/>
    <n v="0"/>
    <n v="-27"/>
    <n v="0"/>
    <x v="1"/>
    <x v="0"/>
    <x v="1"/>
    <x v="6"/>
  </r>
  <r>
    <n v="675"/>
    <s v="Gowtham"/>
    <x v="167"/>
    <s v="Milk &amp; Snacks"/>
    <x v="1"/>
    <n v="67"/>
    <n v="0"/>
    <n v="-67"/>
    <n v="0"/>
    <x v="1"/>
    <x v="0"/>
    <x v="1"/>
    <x v="6"/>
  </r>
  <r>
    <n v="676"/>
    <s v="Gowtham"/>
    <x v="168"/>
    <s v="Watch Repair"/>
    <x v="0"/>
    <n v="410"/>
    <n v="0"/>
    <n v="-410"/>
    <n v="0"/>
    <x v="0"/>
    <x v="0"/>
    <x v="1"/>
    <x v="6"/>
  </r>
  <r>
    <n v="677"/>
    <s v="Gowtham"/>
    <x v="168"/>
    <s v="PVR Inox"/>
    <x v="2"/>
    <n v="173"/>
    <n v="0"/>
    <n v="-173"/>
    <n v="0"/>
    <x v="1"/>
    <x v="0"/>
    <x v="1"/>
    <x v="6"/>
  </r>
  <r>
    <n v="678"/>
    <s v="Renuka"/>
    <x v="168"/>
    <s v="PVR INOX"/>
    <x v="15"/>
    <n v="740"/>
    <n v="0"/>
    <n v="-740"/>
    <n v="0"/>
    <x v="8"/>
    <x v="0"/>
    <x v="1"/>
    <x v="6"/>
  </r>
  <r>
    <n v="679"/>
    <s v="Gowtham"/>
    <x v="169"/>
    <s v="Mall Parking"/>
    <x v="5"/>
    <n v="110"/>
    <n v="0"/>
    <n v="-110"/>
    <n v="0"/>
    <x v="0"/>
    <x v="0"/>
    <x v="1"/>
    <x v="6"/>
  </r>
  <r>
    <n v="680"/>
    <s v="Gowtham"/>
    <x v="169"/>
    <s v="THE BIG MARKET"/>
    <x v="1"/>
    <n v="1183"/>
    <n v="0"/>
    <n v="-1183"/>
    <n v="0"/>
    <x v="1"/>
    <x v="0"/>
    <x v="1"/>
    <x v="6"/>
  </r>
  <r>
    <n v="681"/>
    <s v="Gowtham"/>
    <x v="170"/>
    <s v="Screw"/>
    <x v="0"/>
    <n v="30"/>
    <n v="0"/>
    <n v="-30"/>
    <n v="0"/>
    <x v="0"/>
    <x v="0"/>
    <x v="1"/>
    <x v="6"/>
  </r>
  <r>
    <n v="682"/>
    <s v="Gowtham"/>
    <x v="170"/>
    <s v="Petrol"/>
    <x v="3"/>
    <n v="200"/>
    <n v="0"/>
    <n v="-200"/>
    <n v="0"/>
    <x v="0"/>
    <x v="0"/>
    <x v="1"/>
    <x v="6"/>
  </r>
  <r>
    <n v="683"/>
    <s v="Gowtham"/>
    <x v="170"/>
    <s v="Parcel"/>
    <x v="0"/>
    <n v="90"/>
    <n v="0"/>
    <n v="-90"/>
    <n v="0"/>
    <x v="0"/>
    <x v="0"/>
    <x v="1"/>
    <x v="6"/>
  </r>
  <r>
    <n v="684"/>
    <s v="Gowtham"/>
    <x v="170"/>
    <s v="Snacks"/>
    <x v="2"/>
    <n v="40"/>
    <n v="0"/>
    <n v="-40"/>
    <n v="0"/>
    <x v="1"/>
    <x v="0"/>
    <x v="1"/>
    <x v="6"/>
  </r>
  <r>
    <n v="685"/>
    <s v="Gowtham"/>
    <x v="170"/>
    <s v="Milk &amp; Snacks"/>
    <x v="2"/>
    <n v="85"/>
    <n v="0"/>
    <n v="-85"/>
    <n v="0"/>
    <x v="1"/>
    <x v="0"/>
    <x v="1"/>
    <x v="6"/>
  </r>
  <r>
    <n v="686"/>
    <s v="Gowtham"/>
    <x v="170"/>
    <s v="Shawarma"/>
    <x v="2"/>
    <n v="160"/>
    <n v="0"/>
    <n v="-160"/>
    <n v="0"/>
    <x v="1"/>
    <x v="0"/>
    <x v="1"/>
    <x v="6"/>
  </r>
  <r>
    <n v="687"/>
    <s v="Gowtham"/>
    <x v="170"/>
    <s v="Kothu Parotta"/>
    <x v="2"/>
    <n v="200"/>
    <n v="0"/>
    <n v="-200"/>
    <n v="0"/>
    <x v="1"/>
    <x v="0"/>
    <x v="1"/>
    <x v="6"/>
  </r>
  <r>
    <n v="688"/>
    <s v="Gowtham"/>
    <x v="170"/>
    <s v="Number Plate"/>
    <x v="0"/>
    <n v="300"/>
    <n v="0"/>
    <n v="-300"/>
    <n v="0"/>
    <x v="0"/>
    <x v="0"/>
    <x v="1"/>
    <x v="6"/>
  </r>
  <r>
    <n v="689"/>
    <s v="Gowtham"/>
    <x v="171"/>
    <s v="Milk"/>
    <x v="1"/>
    <n v="27"/>
    <n v="0"/>
    <n v="-27"/>
    <n v="0"/>
    <x v="1"/>
    <x v="0"/>
    <x v="1"/>
    <x v="6"/>
  </r>
  <r>
    <n v="690"/>
    <s v="Gowtham"/>
    <x v="171"/>
    <s v="Eating Out"/>
    <x v="2"/>
    <n v="125"/>
    <n v="0"/>
    <n v="-125"/>
    <n v="0"/>
    <x v="1"/>
    <x v="0"/>
    <x v="1"/>
    <x v="6"/>
  </r>
  <r>
    <n v="691"/>
    <s v="Gowtham"/>
    <x v="172"/>
    <s v="Chicken"/>
    <x v="1"/>
    <n v="589"/>
    <n v="0"/>
    <n v="-589"/>
    <n v="0"/>
    <x v="1"/>
    <x v="0"/>
    <x v="1"/>
    <x v="6"/>
  </r>
  <r>
    <n v="692"/>
    <s v="Gowtham"/>
    <x v="172"/>
    <s v="Tea"/>
    <x v="2"/>
    <n v="40"/>
    <n v="0"/>
    <n v="-40"/>
    <n v="0"/>
    <x v="1"/>
    <x v="0"/>
    <x v="1"/>
    <x v="6"/>
  </r>
  <r>
    <n v="693"/>
    <s v="Gowtham"/>
    <x v="172"/>
    <s v="Cake"/>
    <x v="2"/>
    <n v="150"/>
    <n v="0"/>
    <n v="-150"/>
    <n v="0"/>
    <x v="1"/>
    <x v="0"/>
    <x v="1"/>
    <x v="6"/>
  </r>
  <r>
    <n v="694"/>
    <s v="Gowtham"/>
    <x v="172"/>
    <s v="Milk"/>
    <x v="1"/>
    <n v="27"/>
    <n v="0"/>
    <n v="-27"/>
    <n v="0"/>
    <x v="1"/>
    <x v="0"/>
    <x v="1"/>
    <x v="6"/>
  </r>
  <r>
    <n v="695"/>
    <s v="Gowtham"/>
    <x v="173"/>
    <s v="Speedometer Repair"/>
    <x v="0"/>
    <n v="1100"/>
    <n v="0"/>
    <n v="-1100"/>
    <n v="0"/>
    <x v="0"/>
    <x v="0"/>
    <x v="1"/>
    <x v="6"/>
  </r>
  <r>
    <n v="696"/>
    <s v="Gowtham"/>
    <x v="174"/>
    <s v="Milk"/>
    <x v="1"/>
    <n v="75"/>
    <n v="0"/>
    <n v="-75"/>
    <n v="0"/>
    <x v="1"/>
    <x v="0"/>
    <x v="1"/>
    <x v="6"/>
  </r>
  <r>
    <n v="697"/>
    <s v="Gowtham"/>
    <x v="174"/>
    <s v="D-Mart"/>
    <x v="16"/>
    <n v="1500"/>
    <n v="0"/>
    <n v="-1500"/>
    <n v="0"/>
    <x v="9"/>
    <x v="0"/>
    <x v="1"/>
    <x v="6"/>
  </r>
  <r>
    <n v="698"/>
    <s v="Gowtham"/>
    <x v="174"/>
    <s v="D-Mart"/>
    <x v="1"/>
    <n v="2225.66"/>
    <n v="0"/>
    <n v="-2225.66"/>
    <n v="0"/>
    <x v="1"/>
    <x v="0"/>
    <x v="1"/>
    <x v="6"/>
  </r>
  <r>
    <n v="699"/>
    <s v="Gowtham"/>
    <x v="174"/>
    <s v="Biriyani"/>
    <x v="2"/>
    <n v="360"/>
    <n v="0"/>
    <n v="-360"/>
    <n v="0"/>
    <x v="1"/>
    <x v="0"/>
    <x v="1"/>
    <x v="6"/>
  </r>
  <r>
    <n v="700"/>
    <s v="Gowtham"/>
    <x v="174"/>
    <s v="Cake"/>
    <x v="2"/>
    <n v="140"/>
    <n v="0"/>
    <n v="-140"/>
    <n v="0"/>
    <x v="1"/>
    <x v="0"/>
    <x v="1"/>
    <x v="6"/>
  </r>
  <r>
    <n v="701"/>
    <s v="Gowtham"/>
    <x v="174"/>
    <s v="Movie"/>
    <x v="15"/>
    <n v="500"/>
    <n v="0"/>
    <n v="-500"/>
    <n v="0"/>
    <x v="8"/>
    <x v="0"/>
    <x v="1"/>
    <x v="6"/>
  </r>
  <r>
    <n v="702"/>
    <s v="Renuka"/>
    <x v="174"/>
    <s v="D-Mart"/>
    <x v="2"/>
    <n v="20"/>
    <n v="0"/>
    <n v="-20"/>
    <n v="0"/>
    <x v="1"/>
    <x v="0"/>
    <x v="1"/>
    <x v="6"/>
  </r>
  <r>
    <n v="703"/>
    <s v="Renuka"/>
    <x v="174"/>
    <s v="Zepto"/>
    <x v="1"/>
    <n v="615"/>
    <n v="0"/>
    <n v="-615"/>
    <n v="0"/>
    <x v="1"/>
    <x v="0"/>
    <x v="1"/>
    <x v="6"/>
  </r>
  <r>
    <n v="704"/>
    <s v="Renuka"/>
    <x v="174"/>
    <s v="Flipkart Minutes"/>
    <x v="1"/>
    <n v="364"/>
    <n v="0"/>
    <n v="-364"/>
    <n v="0"/>
    <x v="1"/>
    <x v="0"/>
    <x v="1"/>
    <x v="6"/>
  </r>
  <r>
    <n v="705"/>
    <s v="Renuka"/>
    <x v="174"/>
    <s v="Swiggy Instamart"/>
    <x v="1"/>
    <n v="290"/>
    <n v="0"/>
    <n v="-290"/>
    <n v="0"/>
    <x v="1"/>
    <x v="0"/>
    <x v="1"/>
    <x v="6"/>
  </r>
  <r>
    <n v="706"/>
    <s v="Gowtham"/>
    <x v="175"/>
    <s v="Nandana Palace"/>
    <x v="2"/>
    <n v="906"/>
    <n v="0"/>
    <n v="-906"/>
    <n v="0"/>
    <x v="1"/>
    <x v="0"/>
    <x v="1"/>
    <x v="6"/>
  </r>
  <r>
    <n v="707"/>
    <s v="Gowtham"/>
    <x v="175"/>
    <s v="Movie_Snacks"/>
    <x v="2"/>
    <n v="410"/>
    <n v="0"/>
    <n v="-410"/>
    <n v="0"/>
    <x v="1"/>
    <x v="0"/>
    <x v="1"/>
    <x v="6"/>
  </r>
  <r>
    <n v="708"/>
    <s v="Gowtham"/>
    <x v="175"/>
    <s v="Tea &amp; Snacks"/>
    <x v="2"/>
    <n v="65"/>
    <n v="0"/>
    <n v="-65"/>
    <n v="0"/>
    <x v="1"/>
    <x v="0"/>
    <x v="1"/>
    <x v="6"/>
  </r>
  <r>
    <n v="709"/>
    <s v="Gowtham"/>
    <x v="175"/>
    <s v="Mall Parking"/>
    <x v="5"/>
    <n v="30"/>
    <n v="0"/>
    <n v="-30"/>
    <n v="0"/>
    <x v="0"/>
    <x v="0"/>
    <x v="1"/>
    <x v="6"/>
  </r>
  <r>
    <n v="710"/>
    <s v="Renuka"/>
    <x v="175"/>
    <s v="Tea"/>
    <x v="2"/>
    <n v="147"/>
    <n v="0"/>
    <n v="-147"/>
    <n v="0"/>
    <x v="1"/>
    <x v="0"/>
    <x v="1"/>
    <x v="6"/>
  </r>
  <r>
    <n v="711"/>
    <s v="Gowtham"/>
    <x v="176"/>
    <s v="MotherHood HP"/>
    <x v="32"/>
    <n v="185"/>
    <n v="0"/>
    <n v="-185"/>
    <n v="0"/>
    <x v="10"/>
    <x v="0"/>
    <x v="1"/>
    <x v="6"/>
  </r>
  <r>
    <n v="712"/>
    <s v="Gowtham"/>
    <x v="176"/>
    <s v="Chechide Kada"/>
    <x v="2"/>
    <n v="330"/>
    <n v="0"/>
    <n v="-330"/>
    <n v="0"/>
    <x v="1"/>
    <x v="0"/>
    <x v="1"/>
    <x v="6"/>
  </r>
  <r>
    <n v="713"/>
    <s v="Renuka"/>
    <x v="176"/>
    <s v="MotherHood HP"/>
    <x v="32"/>
    <n v="1142"/>
    <n v="0"/>
    <n v="-1142"/>
    <n v="0"/>
    <x v="10"/>
    <x v="0"/>
    <x v="1"/>
    <x v="6"/>
  </r>
  <r>
    <n v="714"/>
    <s v="Renuka"/>
    <x v="176"/>
    <s v="Milk/Curd"/>
    <x v="1"/>
    <n v="75"/>
    <n v="0"/>
    <n v="-75"/>
    <n v="0"/>
    <x v="1"/>
    <x v="0"/>
    <x v="1"/>
    <x v="6"/>
  </r>
  <r>
    <n v="715"/>
    <s v="Gowtham"/>
    <x v="177"/>
    <s v="Capacitor"/>
    <x v="0"/>
    <n v="140"/>
    <n v="0"/>
    <n v="-140"/>
    <n v="0"/>
    <x v="0"/>
    <x v="0"/>
    <x v="1"/>
    <x v="6"/>
  </r>
  <r>
    <n v="717"/>
    <s v="Gowtham"/>
    <x v="178"/>
    <s v="Milk"/>
    <x v="1"/>
    <n v="67"/>
    <n v="0"/>
    <n v="-67"/>
    <n v="0"/>
    <x v="1"/>
    <x v="0"/>
    <x v="1"/>
    <x v="6"/>
  </r>
  <r>
    <n v="718"/>
    <s v="Gowtham"/>
    <x v="179"/>
    <s v="CAB_COGI"/>
    <x v="5"/>
    <n v="550"/>
    <n v="0"/>
    <n v="-550"/>
    <n v="0"/>
    <x v="0"/>
    <x v="0"/>
    <x v="1"/>
    <x v="6"/>
  </r>
  <r>
    <n v="719"/>
    <s v="Gowtham"/>
    <x v="179"/>
    <s v="CAB_COGI"/>
    <x v="5"/>
    <n v="480"/>
    <n v="0"/>
    <n v="-480"/>
    <n v="0"/>
    <x v="0"/>
    <x v="0"/>
    <x v="1"/>
    <x v="6"/>
  </r>
  <r>
    <n v="720"/>
    <s v="Gowtham"/>
    <x v="179"/>
    <s v="Tea"/>
    <x v="2"/>
    <n v="45"/>
    <n v="0"/>
    <n v="-45"/>
    <n v="0"/>
    <x v="1"/>
    <x v="0"/>
    <x v="1"/>
    <x v="6"/>
  </r>
  <r>
    <n v="721"/>
    <s v="Gowtham"/>
    <x v="179"/>
    <s v="Roll Over"/>
    <x v="2"/>
    <n v="350"/>
    <n v="0"/>
    <n v="-350"/>
    <n v="0"/>
    <x v="1"/>
    <x v="0"/>
    <x v="1"/>
    <x v="6"/>
  </r>
  <r>
    <n v="722"/>
    <s v="Gowtham"/>
    <x v="179"/>
    <s v="Wifi-Selvarani"/>
    <x v="13"/>
    <n v="353"/>
    <n v="0"/>
    <n v="-353"/>
    <n v="0"/>
    <x v="7"/>
    <x v="0"/>
    <x v="1"/>
    <x v="6"/>
  </r>
  <r>
    <n v="723"/>
    <s v="Gowtham"/>
    <x v="179"/>
    <s v="Mango"/>
    <x v="2"/>
    <n v="150"/>
    <n v="0"/>
    <n v="-150"/>
    <n v="0"/>
    <x v="1"/>
    <x v="0"/>
    <x v="1"/>
    <x v="6"/>
  </r>
  <r>
    <n v="724"/>
    <s v="Renuka"/>
    <x v="179"/>
    <s v="BMTC"/>
    <x v="5"/>
    <n v="23"/>
    <n v="0"/>
    <n v="-23"/>
    <n v="0"/>
    <x v="0"/>
    <x v="0"/>
    <x v="1"/>
    <x v="6"/>
  </r>
  <r>
    <n v="725"/>
    <s v="Renuka"/>
    <x v="179"/>
    <s v="BMTC"/>
    <x v="5"/>
    <n v="35"/>
    <n v="0"/>
    <n v="-35"/>
    <n v="0"/>
    <x v="0"/>
    <x v="0"/>
    <x v="1"/>
    <x v="6"/>
  </r>
  <r>
    <n v="726"/>
    <s v="Gowtham"/>
    <x v="180"/>
    <s v="Milk"/>
    <x v="1"/>
    <n v="27"/>
    <n v="0"/>
    <n v="-27"/>
    <n v="0"/>
    <x v="1"/>
    <x v="0"/>
    <x v="1"/>
    <x v="6"/>
  </r>
  <r>
    <n v="727"/>
    <s v="Gowtham"/>
    <x v="180"/>
    <s v="Jio Recharge"/>
    <x v="13"/>
    <n v="899"/>
    <n v="0"/>
    <n v="-899"/>
    <n v="0"/>
    <x v="7"/>
    <x v="0"/>
    <x v="1"/>
    <x v="6"/>
  </r>
  <r>
    <n v="728"/>
    <s v="Renuka"/>
    <x v="180"/>
    <s v="BMTC"/>
    <x v="5"/>
    <n v="28"/>
    <n v="0"/>
    <n v="-28"/>
    <n v="0"/>
    <x v="0"/>
    <x v="0"/>
    <x v="1"/>
    <x v="6"/>
  </r>
  <r>
    <n v="729"/>
    <s v="Renuka"/>
    <x v="180"/>
    <s v="BMTC"/>
    <x v="5"/>
    <n v="24"/>
    <n v="0"/>
    <n v="-24"/>
    <n v="0"/>
    <x v="0"/>
    <x v="0"/>
    <x v="1"/>
    <x v="6"/>
  </r>
  <r>
    <n v="730"/>
    <s v="Renuka"/>
    <x v="180"/>
    <s v="BMTC"/>
    <x v="5"/>
    <n v="23"/>
    <n v="0"/>
    <n v="-23"/>
    <n v="0"/>
    <x v="0"/>
    <x v="0"/>
    <x v="1"/>
    <x v="6"/>
  </r>
  <r>
    <n v="731"/>
    <s v="Renuka"/>
    <x v="180"/>
    <s v="BMTC"/>
    <x v="5"/>
    <n v="28"/>
    <n v="0"/>
    <n v="-28"/>
    <n v="0"/>
    <x v="0"/>
    <x v="0"/>
    <x v="1"/>
    <x v="6"/>
  </r>
  <r>
    <n v="732"/>
    <s v="Renuka"/>
    <x v="180"/>
    <s v="Parotta"/>
    <x v="2"/>
    <n v="115"/>
    <n v="0"/>
    <n v="-115"/>
    <n v="0"/>
    <x v="1"/>
    <x v="0"/>
    <x v="1"/>
    <x v="6"/>
  </r>
  <r>
    <n v="733"/>
    <s v="Renuka"/>
    <x v="180"/>
    <s v="Chicken"/>
    <x v="1"/>
    <n v="100"/>
    <n v="0"/>
    <n v="-100"/>
    <n v="0"/>
    <x v="1"/>
    <x v="0"/>
    <x v="1"/>
    <x v="6"/>
  </r>
  <r>
    <n v="734"/>
    <s v="Gowtham"/>
    <x v="181"/>
    <s v="Fuel"/>
    <x v="37"/>
    <n v="500"/>
    <n v="0"/>
    <n v="-500"/>
    <n v="0"/>
    <x v="8"/>
    <x v="0"/>
    <x v="1"/>
    <x v="6"/>
  </r>
  <r>
    <n v="735"/>
    <s v="Gowtham"/>
    <x v="181"/>
    <s v="Tea"/>
    <x v="37"/>
    <n v="136"/>
    <n v="0"/>
    <n v="-136"/>
    <n v="0"/>
    <x v="8"/>
    <x v="0"/>
    <x v="1"/>
    <x v="6"/>
  </r>
  <r>
    <n v="736"/>
    <s v="Gowtham"/>
    <x v="181"/>
    <s v="Toilet"/>
    <x v="37"/>
    <n v="10"/>
    <n v="0"/>
    <n v="-10"/>
    <n v="0"/>
    <x v="8"/>
    <x v="0"/>
    <x v="1"/>
    <x v="6"/>
  </r>
  <r>
    <n v="737"/>
    <s v="Gowtham"/>
    <x v="181"/>
    <s v="Breakfast"/>
    <x v="37"/>
    <n v="140"/>
    <n v="0"/>
    <n v="-140"/>
    <n v="0"/>
    <x v="8"/>
    <x v="0"/>
    <x v="1"/>
    <x v="6"/>
  </r>
  <r>
    <n v="738"/>
    <s v="Gowtham"/>
    <x v="181"/>
    <s v="Fruits"/>
    <x v="37"/>
    <n v="450"/>
    <n v="0"/>
    <n v="-450"/>
    <n v="0"/>
    <x v="8"/>
    <x v="0"/>
    <x v="1"/>
    <x v="6"/>
  </r>
  <r>
    <n v="739"/>
    <s v="Gowtham"/>
    <x v="181"/>
    <s v="Big Market - Slipper"/>
    <x v="14"/>
    <n v="732"/>
    <n v="0"/>
    <n v="-732"/>
    <n v="0"/>
    <x v="1"/>
    <x v="0"/>
    <x v="1"/>
    <x v="6"/>
  </r>
  <r>
    <n v="740"/>
    <s v="Gowtham"/>
    <x v="181"/>
    <s v="Venkatasubbayya"/>
    <x v="2"/>
    <n v="90"/>
    <n v="0"/>
    <n v="-90"/>
    <n v="0"/>
    <x v="1"/>
    <x v="0"/>
    <x v="1"/>
    <x v="6"/>
  </r>
  <r>
    <n v="741"/>
    <s v="Gowtham"/>
    <x v="181"/>
    <s v="Big Market - Fish"/>
    <x v="1"/>
    <n v="277"/>
    <n v="0"/>
    <n v="-277"/>
    <n v="0"/>
    <x v="1"/>
    <x v="0"/>
    <x v="1"/>
    <x v="6"/>
  </r>
  <r>
    <n v="742"/>
    <s v="Renuka"/>
    <x v="181"/>
    <s v="Nykaa"/>
    <x v="26"/>
    <n v="483"/>
    <n v="0"/>
    <n v="-483"/>
    <n v="0"/>
    <x v="1"/>
    <x v="0"/>
    <x v="1"/>
    <x v="6"/>
  </r>
  <r>
    <n v="743"/>
    <s v="Renuka"/>
    <x v="181"/>
    <s v="Tea"/>
    <x v="2"/>
    <n v="10"/>
    <n v="0"/>
    <n v="-10"/>
    <n v="0"/>
    <x v="1"/>
    <x v="0"/>
    <x v="1"/>
    <x v="6"/>
  </r>
  <r>
    <n v="744"/>
    <s v="Gowtham"/>
    <x v="182"/>
    <s v="Chicken"/>
    <x v="1"/>
    <n v="120"/>
    <n v="0"/>
    <n v="-120"/>
    <n v="0"/>
    <x v="1"/>
    <x v="0"/>
    <x v="1"/>
    <x v="6"/>
  </r>
  <r>
    <n v="745"/>
    <s v="Gowtham"/>
    <x v="182"/>
    <s v="Milk"/>
    <x v="1"/>
    <n v="53"/>
    <n v="0"/>
    <n v="-53"/>
    <n v="0"/>
    <x v="1"/>
    <x v="0"/>
    <x v="1"/>
    <x v="6"/>
  </r>
  <r>
    <n v="746"/>
    <s v="Gowtham"/>
    <x v="182"/>
    <s v="Bike Repair"/>
    <x v="0"/>
    <n v="3700"/>
    <n v="0"/>
    <n v="-3700"/>
    <n v="0"/>
    <x v="0"/>
    <x v="0"/>
    <x v="1"/>
    <x v="6"/>
  </r>
  <r>
    <n v="747"/>
    <s v="Gowtham"/>
    <x v="183"/>
    <s v="Milk"/>
    <x v="1"/>
    <n v="210"/>
    <n v="0"/>
    <n v="-210"/>
    <n v="0"/>
    <x v="1"/>
    <x v="0"/>
    <x v="1"/>
    <x v="6"/>
  </r>
  <r>
    <n v="748"/>
    <s v="Gowtham"/>
    <x v="183"/>
    <s v="Milk"/>
    <x v="1"/>
    <n v="40"/>
    <n v="0"/>
    <n v="-40"/>
    <n v="0"/>
    <x v="1"/>
    <x v="0"/>
    <x v="1"/>
    <x v="6"/>
  </r>
  <r>
    <n v="749"/>
    <s v="Gowtham"/>
    <x v="184"/>
    <s v="EB Bill Parimala"/>
    <x v="19"/>
    <n v="181"/>
    <n v="0"/>
    <n v="-181"/>
    <n v="0"/>
    <x v="9"/>
    <x v="0"/>
    <x v="1"/>
    <x v="6"/>
  </r>
  <r>
    <n v="750"/>
    <s v="Gowtham"/>
    <x v="184"/>
    <s v="EB Bill Parimala"/>
    <x v="19"/>
    <n v="174"/>
    <n v="0"/>
    <n v="-174"/>
    <n v="0"/>
    <x v="9"/>
    <x v="0"/>
    <x v="1"/>
    <x v="6"/>
  </r>
  <r>
    <n v="751"/>
    <s v="Renuka"/>
    <x v="185"/>
    <s v="EB Bill-Puliyur"/>
    <x v="19"/>
    <n v="96"/>
    <n v="0"/>
    <n v="-96"/>
    <n v="0"/>
    <x v="9"/>
    <x v="0"/>
    <x v="1"/>
    <x v="6"/>
  </r>
  <r>
    <n v="752"/>
    <s v="Renuka"/>
    <x v="185"/>
    <s v="Swiggy"/>
    <x v="2"/>
    <n v="892"/>
    <n v="0"/>
    <n v="-892"/>
    <n v="0"/>
    <x v="1"/>
    <x v="0"/>
    <x v="1"/>
    <x v="6"/>
  </r>
  <r>
    <n v="753"/>
    <s v="Gowtham"/>
    <x v="186"/>
    <s v="IRCTC Wallet"/>
    <x v="5"/>
    <n v="509"/>
    <n v="0"/>
    <n v="-509"/>
    <n v="0"/>
    <x v="0"/>
    <x v="0"/>
    <x v="1"/>
    <x v="6"/>
  </r>
  <r>
    <n v="754"/>
    <s v="Gowtham"/>
    <x v="187"/>
    <s v="TNSTC"/>
    <x v="5"/>
    <n v="592"/>
    <n v="0"/>
    <n v="-592"/>
    <n v="0"/>
    <x v="0"/>
    <x v="0"/>
    <x v="1"/>
    <x v="7"/>
  </r>
  <r>
    <n v="755"/>
    <s v="Renuka"/>
    <x v="187"/>
    <s v="Salary Renuka"/>
    <x v="9"/>
    <n v="0"/>
    <n v="48551"/>
    <n v="48551"/>
    <n v="0"/>
    <x v="3"/>
    <x v="1"/>
    <x v="1"/>
    <x v="7"/>
  </r>
  <r>
    <n v="756"/>
    <s v="Renuka"/>
    <x v="187"/>
    <s v="Thangamayil"/>
    <x v="8"/>
    <n v="12000"/>
    <n v="0"/>
    <n v="-12000"/>
    <n v="0"/>
    <x v="5"/>
    <x v="2"/>
    <x v="1"/>
    <x v="7"/>
  </r>
  <r>
    <n v="757"/>
    <s v="Renuka"/>
    <x v="161"/>
    <s v="Thangamayil"/>
    <x v="8"/>
    <n v="12000"/>
    <n v="0"/>
    <n v="-12000"/>
    <n v="0"/>
    <x v="5"/>
    <x v="2"/>
    <x v="1"/>
    <x v="6"/>
  </r>
  <r>
    <m/>
    <m/>
    <x v="0"/>
    <m/>
    <x v="17"/>
    <m/>
    <m/>
    <m/>
    <n v="-15500"/>
    <x v="9"/>
    <x v="0"/>
    <x v="0"/>
    <x v="0"/>
  </r>
  <r>
    <m/>
    <m/>
    <x v="25"/>
    <m/>
    <x v="17"/>
    <m/>
    <m/>
    <m/>
    <n v="-15500"/>
    <x v="9"/>
    <x v="0"/>
    <x v="0"/>
    <x v="1"/>
  </r>
  <r>
    <m/>
    <m/>
    <x v="0"/>
    <m/>
    <x v="19"/>
    <m/>
    <m/>
    <m/>
    <n v="-609"/>
    <x v="9"/>
    <x v="0"/>
    <x v="0"/>
    <x v="0"/>
  </r>
  <r>
    <m/>
    <m/>
    <x v="25"/>
    <m/>
    <x v="19"/>
    <m/>
    <m/>
    <m/>
    <n v="-800"/>
    <x v="9"/>
    <x v="0"/>
    <x v="0"/>
    <x v="1"/>
  </r>
  <r>
    <m/>
    <m/>
    <x v="0"/>
    <m/>
    <x v="18"/>
    <m/>
    <m/>
    <m/>
    <n v="-250"/>
    <x v="9"/>
    <x v="0"/>
    <x v="0"/>
    <x v="0"/>
  </r>
  <r>
    <m/>
    <m/>
    <x v="25"/>
    <m/>
    <x v="18"/>
    <m/>
    <m/>
    <m/>
    <n v="-250"/>
    <x v="9"/>
    <x v="0"/>
    <x v="0"/>
    <x v="1"/>
  </r>
  <r>
    <m/>
    <m/>
    <x v="0"/>
    <m/>
    <x v="16"/>
    <m/>
    <m/>
    <m/>
    <n v="-2000"/>
    <x v="9"/>
    <x v="0"/>
    <x v="0"/>
    <x v="0"/>
  </r>
  <r>
    <m/>
    <m/>
    <x v="25"/>
    <m/>
    <x v="16"/>
    <m/>
    <m/>
    <m/>
    <n v="-7635"/>
    <x v="9"/>
    <x v="0"/>
    <x v="0"/>
    <x v="1"/>
  </r>
  <r>
    <m/>
    <m/>
    <x v="0"/>
    <m/>
    <x v="3"/>
    <m/>
    <m/>
    <m/>
    <n v="-1200"/>
    <x v="0"/>
    <x v="0"/>
    <x v="0"/>
    <x v="0"/>
  </r>
  <r>
    <m/>
    <m/>
    <x v="25"/>
    <m/>
    <x v="3"/>
    <m/>
    <m/>
    <m/>
    <n v="-1200"/>
    <x v="0"/>
    <x v="0"/>
    <x v="0"/>
    <x v="1"/>
  </r>
  <r>
    <m/>
    <m/>
    <x v="0"/>
    <m/>
    <x v="5"/>
    <m/>
    <m/>
    <m/>
    <n v="-3500"/>
    <x v="0"/>
    <x v="0"/>
    <x v="0"/>
    <x v="0"/>
  </r>
  <r>
    <m/>
    <m/>
    <x v="25"/>
    <m/>
    <x v="5"/>
    <m/>
    <m/>
    <m/>
    <n v="-2860"/>
    <x v="0"/>
    <x v="0"/>
    <x v="0"/>
    <x v="1"/>
  </r>
  <r>
    <m/>
    <m/>
    <x v="0"/>
    <m/>
    <x v="0"/>
    <m/>
    <m/>
    <m/>
    <n v="-7800"/>
    <x v="0"/>
    <x v="0"/>
    <x v="0"/>
    <x v="0"/>
  </r>
  <r>
    <m/>
    <m/>
    <x v="0"/>
    <m/>
    <x v="25"/>
    <m/>
    <m/>
    <m/>
    <n v="-149"/>
    <x v="7"/>
    <x v="0"/>
    <x v="0"/>
    <x v="0"/>
  </r>
  <r>
    <m/>
    <m/>
    <x v="25"/>
    <m/>
    <x v="25"/>
    <m/>
    <m/>
    <m/>
    <n v="-149"/>
    <x v="7"/>
    <x v="0"/>
    <x v="0"/>
    <x v="1"/>
  </r>
  <r>
    <m/>
    <m/>
    <x v="0"/>
    <m/>
    <x v="21"/>
    <m/>
    <m/>
    <m/>
    <n v="-589"/>
    <x v="7"/>
    <x v="0"/>
    <x v="0"/>
    <x v="0"/>
  </r>
  <r>
    <m/>
    <m/>
    <x v="25"/>
    <m/>
    <x v="21"/>
    <m/>
    <m/>
    <m/>
    <n v="-589"/>
    <x v="7"/>
    <x v="0"/>
    <x v="0"/>
    <x v="1"/>
  </r>
  <r>
    <m/>
    <m/>
    <x v="0"/>
    <m/>
    <x v="13"/>
    <m/>
    <m/>
    <m/>
    <n v="-1300"/>
    <x v="7"/>
    <x v="0"/>
    <x v="0"/>
    <x v="0"/>
  </r>
  <r>
    <m/>
    <m/>
    <x v="25"/>
    <m/>
    <x v="13"/>
    <m/>
    <m/>
    <m/>
    <n v="-1929"/>
    <x v="7"/>
    <x v="0"/>
    <x v="0"/>
    <x v="1"/>
  </r>
  <r>
    <m/>
    <m/>
    <x v="0"/>
    <m/>
    <x v="1"/>
    <m/>
    <m/>
    <m/>
    <n v="-5000"/>
    <x v="1"/>
    <x v="0"/>
    <x v="0"/>
    <x v="0"/>
  </r>
  <r>
    <m/>
    <m/>
    <x v="25"/>
    <m/>
    <x v="1"/>
    <m/>
    <m/>
    <m/>
    <n v="-7000"/>
    <x v="1"/>
    <x v="0"/>
    <x v="0"/>
    <x v="1"/>
  </r>
  <r>
    <m/>
    <m/>
    <x v="0"/>
    <m/>
    <x v="14"/>
    <m/>
    <m/>
    <m/>
    <n v="-1000"/>
    <x v="1"/>
    <x v="0"/>
    <x v="0"/>
    <x v="0"/>
  </r>
  <r>
    <m/>
    <m/>
    <x v="0"/>
    <m/>
    <x v="2"/>
    <m/>
    <m/>
    <m/>
    <n v="-3000"/>
    <x v="1"/>
    <x v="0"/>
    <x v="0"/>
    <x v="0"/>
  </r>
  <r>
    <m/>
    <m/>
    <x v="25"/>
    <m/>
    <x v="2"/>
    <m/>
    <m/>
    <m/>
    <n v="-3000"/>
    <x v="1"/>
    <x v="0"/>
    <x v="0"/>
    <x v="1"/>
  </r>
  <r>
    <m/>
    <m/>
    <x v="0"/>
    <m/>
    <x v="26"/>
    <m/>
    <m/>
    <m/>
    <n v="-300"/>
    <x v="1"/>
    <x v="0"/>
    <x v="0"/>
    <x v="0"/>
  </r>
  <r>
    <m/>
    <m/>
    <x v="25"/>
    <m/>
    <x v="26"/>
    <m/>
    <m/>
    <m/>
    <n v="-300"/>
    <x v="1"/>
    <x v="0"/>
    <x v="0"/>
    <x v="1"/>
  </r>
  <r>
    <m/>
    <m/>
    <x v="0"/>
    <m/>
    <x v="15"/>
    <m/>
    <m/>
    <m/>
    <n v="-500"/>
    <x v="8"/>
    <x v="0"/>
    <x v="0"/>
    <x v="0"/>
  </r>
  <r>
    <m/>
    <m/>
    <x v="25"/>
    <m/>
    <x v="15"/>
    <m/>
    <m/>
    <m/>
    <n v="-500"/>
    <x v="8"/>
    <x v="0"/>
    <x v="0"/>
    <x v="1"/>
  </r>
  <r>
    <m/>
    <m/>
    <x v="25"/>
    <m/>
    <x v="23"/>
    <m/>
    <m/>
    <m/>
    <n v="-4000"/>
    <x v="8"/>
    <x v="0"/>
    <x v="0"/>
    <x v="1"/>
  </r>
  <r>
    <m/>
    <m/>
    <x v="0"/>
    <m/>
    <x v="11"/>
    <m/>
    <m/>
    <m/>
    <n v="-11000"/>
    <x v="4"/>
    <x v="0"/>
    <x v="0"/>
    <x v="0"/>
  </r>
  <r>
    <m/>
    <m/>
    <x v="25"/>
    <m/>
    <x v="11"/>
    <m/>
    <m/>
    <m/>
    <n v="-25000"/>
    <x v="4"/>
    <x v="0"/>
    <x v="0"/>
    <x v="1"/>
  </r>
  <r>
    <m/>
    <m/>
    <x v="0"/>
    <m/>
    <x v="12"/>
    <m/>
    <m/>
    <m/>
    <n v="-5000"/>
    <x v="4"/>
    <x v="0"/>
    <x v="0"/>
    <x v="0"/>
  </r>
  <r>
    <m/>
    <m/>
    <x v="25"/>
    <m/>
    <x v="12"/>
    <m/>
    <m/>
    <m/>
    <n v="-5000"/>
    <x v="4"/>
    <x v="0"/>
    <x v="0"/>
    <x v="1"/>
  </r>
  <r>
    <m/>
    <m/>
    <x v="0"/>
    <m/>
    <x v="7"/>
    <m/>
    <m/>
    <m/>
    <n v="-22921"/>
    <x v="4"/>
    <x v="0"/>
    <x v="0"/>
    <x v="0"/>
  </r>
  <r>
    <m/>
    <m/>
    <x v="25"/>
    <m/>
    <x v="7"/>
    <m/>
    <m/>
    <m/>
    <n v="-14540"/>
    <x v="4"/>
    <x v="0"/>
    <x v="0"/>
    <x v="1"/>
  </r>
  <r>
    <m/>
    <m/>
    <x v="25"/>
    <m/>
    <x v="24"/>
    <m/>
    <m/>
    <m/>
    <n v="-7000"/>
    <x v="4"/>
    <x v="0"/>
    <x v="0"/>
    <x v="1"/>
  </r>
  <r>
    <m/>
    <m/>
    <x v="0"/>
    <m/>
    <x v="8"/>
    <m/>
    <m/>
    <m/>
    <n v="-63000"/>
    <x v="5"/>
    <x v="2"/>
    <x v="0"/>
    <x v="0"/>
  </r>
  <r>
    <m/>
    <m/>
    <x v="25"/>
    <m/>
    <x v="8"/>
    <m/>
    <m/>
    <m/>
    <n v="-20000"/>
    <x v="5"/>
    <x v="2"/>
    <x v="0"/>
    <x v="1"/>
  </r>
  <r>
    <m/>
    <m/>
    <x v="0"/>
    <m/>
    <x v="6"/>
    <m/>
    <m/>
    <m/>
    <n v="48200"/>
    <x v="3"/>
    <x v="1"/>
    <x v="0"/>
    <x v="0"/>
  </r>
  <r>
    <m/>
    <m/>
    <x v="25"/>
    <m/>
    <x v="6"/>
    <m/>
    <m/>
    <m/>
    <n v="48200"/>
    <x v="3"/>
    <x v="1"/>
    <x v="0"/>
    <x v="1"/>
  </r>
  <r>
    <m/>
    <m/>
    <x v="0"/>
    <m/>
    <x v="9"/>
    <m/>
    <m/>
    <m/>
    <n v="43700"/>
    <x v="3"/>
    <x v="1"/>
    <x v="0"/>
    <x v="0"/>
  </r>
  <r>
    <m/>
    <m/>
    <x v="25"/>
    <m/>
    <x v="9"/>
    <m/>
    <m/>
    <m/>
    <n v="43700"/>
    <x v="3"/>
    <x v="1"/>
    <x v="0"/>
    <x v="1"/>
  </r>
  <r>
    <m/>
    <m/>
    <x v="0"/>
    <m/>
    <x v="10"/>
    <m/>
    <m/>
    <m/>
    <n v="50000"/>
    <x v="6"/>
    <x v="1"/>
    <x v="0"/>
    <x v="0"/>
  </r>
  <r>
    <m/>
    <m/>
    <x v="53"/>
    <m/>
    <x v="17"/>
    <m/>
    <m/>
    <m/>
    <n v="-15500"/>
    <x v="9"/>
    <x v="0"/>
    <x v="1"/>
    <x v="2"/>
  </r>
  <r>
    <m/>
    <m/>
    <x v="81"/>
    <m/>
    <x v="17"/>
    <m/>
    <m/>
    <m/>
    <n v="-15500"/>
    <x v="9"/>
    <x v="0"/>
    <x v="1"/>
    <x v="3"/>
  </r>
  <r>
    <m/>
    <m/>
    <x v="103"/>
    <m/>
    <x v="17"/>
    <m/>
    <m/>
    <m/>
    <n v="-15500"/>
    <x v="9"/>
    <x v="0"/>
    <x v="1"/>
    <x v="4"/>
  </r>
  <r>
    <m/>
    <m/>
    <x v="132"/>
    <m/>
    <x v="17"/>
    <m/>
    <m/>
    <m/>
    <n v="-15500"/>
    <x v="9"/>
    <x v="0"/>
    <x v="1"/>
    <x v="5"/>
  </r>
  <r>
    <m/>
    <m/>
    <x v="161"/>
    <m/>
    <x v="17"/>
    <m/>
    <m/>
    <m/>
    <n v="-15500"/>
    <x v="9"/>
    <x v="0"/>
    <x v="1"/>
    <x v="6"/>
  </r>
  <r>
    <m/>
    <m/>
    <x v="187"/>
    <m/>
    <x v="17"/>
    <m/>
    <m/>
    <m/>
    <n v="16250"/>
    <x v="9"/>
    <x v="0"/>
    <x v="1"/>
    <x v="7"/>
  </r>
  <r>
    <m/>
    <m/>
    <x v="53"/>
    <m/>
    <x v="19"/>
    <m/>
    <m/>
    <m/>
    <n v="-800"/>
    <x v="9"/>
    <x v="0"/>
    <x v="1"/>
    <x v="2"/>
  </r>
  <r>
    <m/>
    <m/>
    <x v="81"/>
    <m/>
    <x v="19"/>
    <m/>
    <m/>
    <m/>
    <n v="-800"/>
    <x v="9"/>
    <x v="0"/>
    <x v="1"/>
    <x v="3"/>
  </r>
  <r>
    <m/>
    <m/>
    <x v="103"/>
    <m/>
    <x v="19"/>
    <m/>
    <m/>
    <m/>
    <n v="-800"/>
    <x v="9"/>
    <x v="0"/>
    <x v="1"/>
    <x v="4"/>
  </r>
  <r>
    <m/>
    <m/>
    <x v="132"/>
    <m/>
    <x v="19"/>
    <m/>
    <m/>
    <m/>
    <n v="-800"/>
    <x v="9"/>
    <x v="0"/>
    <x v="1"/>
    <x v="5"/>
  </r>
  <r>
    <m/>
    <m/>
    <x v="161"/>
    <m/>
    <x v="19"/>
    <m/>
    <m/>
    <m/>
    <n v="-800"/>
    <x v="9"/>
    <x v="0"/>
    <x v="1"/>
    <x v="6"/>
  </r>
  <r>
    <m/>
    <m/>
    <x v="187"/>
    <m/>
    <x v="19"/>
    <m/>
    <m/>
    <m/>
    <n v="-800"/>
    <x v="9"/>
    <x v="0"/>
    <x v="1"/>
    <x v="7"/>
  </r>
  <r>
    <m/>
    <m/>
    <x v="53"/>
    <m/>
    <x v="18"/>
    <m/>
    <m/>
    <m/>
    <n v="-250"/>
    <x v="9"/>
    <x v="0"/>
    <x v="1"/>
    <x v="2"/>
  </r>
  <r>
    <m/>
    <m/>
    <x v="81"/>
    <m/>
    <x v="18"/>
    <m/>
    <m/>
    <m/>
    <n v="-250"/>
    <x v="9"/>
    <x v="0"/>
    <x v="1"/>
    <x v="3"/>
  </r>
  <r>
    <m/>
    <m/>
    <x v="103"/>
    <m/>
    <x v="18"/>
    <m/>
    <m/>
    <m/>
    <n v="-250"/>
    <x v="9"/>
    <x v="0"/>
    <x v="1"/>
    <x v="4"/>
  </r>
  <r>
    <m/>
    <m/>
    <x v="132"/>
    <m/>
    <x v="18"/>
    <m/>
    <m/>
    <m/>
    <n v="-250"/>
    <x v="9"/>
    <x v="0"/>
    <x v="1"/>
    <x v="5"/>
  </r>
  <r>
    <m/>
    <m/>
    <x v="161"/>
    <m/>
    <x v="18"/>
    <m/>
    <m/>
    <m/>
    <n v="-250"/>
    <x v="9"/>
    <x v="0"/>
    <x v="1"/>
    <x v="6"/>
  </r>
  <r>
    <m/>
    <m/>
    <x v="187"/>
    <m/>
    <x v="18"/>
    <m/>
    <m/>
    <m/>
    <n v="-250"/>
    <x v="9"/>
    <x v="0"/>
    <x v="1"/>
    <x v="7"/>
  </r>
  <r>
    <m/>
    <m/>
    <x v="53"/>
    <m/>
    <x v="16"/>
    <m/>
    <m/>
    <m/>
    <n v="-2000"/>
    <x v="9"/>
    <x v="0"/>
    <x v="1"/>
    <x v="2"/>
  </r>
  <r>
    <m/>
    <m/>
    <x v="81"/>
    <m/>
    <x v="16"/>
    <m/>
    <m/>
    <m/>
    <n v="-1500"/>
    <x v="9"/>
    <x v="0"/>
    <x v="1"/>
    <x v="3"/>
  </r>
  <r>
    <m/>
    <m/>
    <x v="103"/>
    <m/>
    <x v="16"/>
    <m/>
    <m/>
    <m/>
    <n v="-1500"/>
    <x v="9"/>
    <x v="0"/>
    <x v="1"/>
    <x v="4"/>
  </r>
  <r>
    <m/>
    <m/>
    <x v="132"/>
    <m/>
    <x v="16"/>
    <m/>
    <m/>
    <m/>
    <n v="-1000"/>
    <x v="9"/>
    <x v="0"/>
    <x v="1"/>
    <x v="5"/>
  </r>
  <r>
    <m/>
    <m/>
    <x v="161"/>
    <m/>
    <x v="16"/>
    <m/>
    <m/>
    <m/>
    <n v="-1500"/>
    <x v="9"/>
    <x v="0"/>
    <x v="1"/>
    <x v="6"/>
  </r>
  <r>
    <m/>
    <m/>
    <x v="187"/>
    <m/>
    <x v="16"/>
    <m/>
    <m/>
    <m/>
    <n v="-1000"/>
    <x v="9"/>
    <x v="0"/>
    <x v="1"/>
    <x v="7"/>
  </r>
  <r>
    <m/>
    <m/>
    <x v="53"/>
    <m/>
    <x v="3"/>
    <m/>
    <m/>
    <m/>
    <n v="-1200"/>
    <x v="0"/>
    <x v="0"/>
    <x v="1"/>
    <x v="2"/>
  </r>
  <r>
    <m/>
    <m/>
    <x v="81"/>
    <m/>
    <x v="3"/>
    <m/>
    <m/>
    <m/>
    <n v="-600"/>
    <x v="0"/>
    <x v="0"/>
    <x v="1"/>
    <x v="3"/>
  </r>
  <r>
    <m/>
    <m/>
    <x v="103"/>
    <m/>
    <x v="3"/>
    <m/>
    <m/>
    <m/>
    <n v="-600"/>
    <x v="0"/>
    <x v="0"/>
    <x v="1"/>
    <x v="4"/>
  </r>
  <r>
    <m/>
    <m/>
    <x v="132"/>
    <m/>
    <x v="3"/>
    <m/>
    <m/>
    <m/>
    <n v="-600"/>
    <x v="0"/>
    <x v="0"/>
    <x v="1"/>
    <x v="5"/>
  </r>
  <r>
    <m/>
    <m/>
    <x v="161"/>
    <m/>
    <x v="3"/>
    <m/>
    <m/>
    <m/>
    <n v="-600"/>
    <x v="0"/>
    <x v="0"/>
    <x v="1"/>
    <x v="6"/>
  </r>
  <r>
    <m/>
    <m/>
    <x v="187"/>
    <m/>
    <x v="3"/>
    <m/>
    <m/>
    <m/>
    <n v="-600"/>
    <x v="0"/>
    <x v="0"/>
    <x v="1"/>
    <x v="7"/>
  </r>
  <r>
    <m/>
    <m/>
    <x v="53"/>
    <m/>
    <x v="5"/>
    <m/>
    <m/>
    <m/>
    <n v="-5800"/>
    <x v="0"/>
    <x v="0"/>
    <x v="1"/>
    <x v="2"/>
  </r>
  <r>
    <m/>
    <m/>
    <x v="81"/>
    <m/>
    <x v="5"/>
    <m/>
    <m/>
    <m/>
    <n v="-3000"/>
    <x v="0"/>
    <x v="0"/>
    <x v="1"/>
    <x v="3"/>
  </r>
  <r>
    <m/>
    <m/>
    <x v="103"/>
    <m/>
    <x v="5"/>
    <m/>
    <m/>
    <m/>
    <n v="-6000"/>
    <x v="0"/>
    <x v="0"/>
    <x v="1"/>
    <x v="4"/>
  </r>
  <r>
    <m/>
    <m/>
    <x v="132"/>
    <m/>
    <x v="5"/>
    <m/>
    <m/>
    <m/>
    <n v="-4380"/>
    <x v="0"/>
    <x v="0"/>
    <x v="1"/>
    <x v="5"/>
  </r>
  <r>
    <m/>
    <m/>
    <x v="161"/>
    <m/>
    <x v="5"/>
    <m/>
    <m/>
    <m/>
    <n v="-10000"/>
    <x v="0"/>
    <x v="0"/>
    <x v="1"/>
    <x v="6"/>
  </r>
  <r>
    <m/>
    <m/>
    <x v="187"/>
    <m/>
    <x v="5"/>
    <m/>
    <m/>
    <m/>
    <n v="-2000"/>
    <x v="0"/>
    <x v="0"/>
    <x v="1"/>
    <x v="7"/>
  </r>
  <r>
    <m/>
    <m/>
    <x v="81"/>
    <m/>
    <x v="0"/>
    <m/>
    <m/>
    <m/>
    <n v="-200"/>
    <x v="0"/>
    <x v="0"/>
    <x v="1"/>
    <x v="3"/>
  </r>
  <r>
    <m/>
    <m/>
    <x v="103"/>
    <m/>
    <x v="0"/>
    <m/>
    <m/>
    <m/>
    <n v="-200"/>
    <x v="0"/>
    <x v="0"/>
    <x v="1"/>
    <x v="4"/>
  </r>
  <r>
    <m/>
    <m/>
    <x v="132"/>
    <m/>
    <x v="0"/>
    <m/>
    <m/>
    <m/>
    <n v="-200"/>
    <x v="0"/>
    <x v="0"/>
    <x v="1"/>
    <x v="5"/>
  </r>
  <r>
    <m/>
    <m/>
    <x v="161"/>
    <m/>
    <x v="0"/>
    <m/>
    <m/>
    <m/>
    <n v="-3700"/>
    <x v="0"/>
    <x v="0"/>
    <x v="1"/>
    <x v="6"/>
  </r>
  <r>
    <m/>
    <m/>
    <x v="187"/>
    <m/>
    <x v="0"/>
    <m/>
    <m/>
    <m/>
    <n v="-200"/>
    <x v="0"/>
    <x v="0"/>
    <x v="1"/>
    <x v="7"/>
  </r>
  <r>
    <m/>
    <m/>
    <x v="161"/>
    <m/>
    <x v="32"/>
    <m/>
    <m/>
    <m/>
    <n v="-3000"/>
    <x v="10"/>
    <x v="0"/>
    <x v="1"/>
    <x v="6"/>
  </r>
  <r>
    <m/>
    <m/>
    <x v="187"/>
    <m/>
    <x v="32"/>
    <m/>
    <m/>
    <m/>
    <n v="-2000"/>
    <x v="10"/>
    <x v="0"/>
    <x v="1"/>
    <x v="7"/>
  </r>
  <r>
    <m/>
    <m/>
    <x v="132"/>
    <m/>
    <x v="20"/>
    <m/>
    <m/>
    <m/>
    <n v="-329"/>
    <x v="10"/>
    <x v="0"/>
    <x v="1"/>
    <x v="5"/>
  </r>
  <r>
    <m/>
    <m/>
    <x v="81"/>
    <m/>
    <x v="29"/>
    <m/>
    <m/>
    <m/>
    <n v="-500"/>
    <x v="11"/>
    <x v="0"/>
    <x v="1"/>
    <x v="3"/>
  </r>
  <r>
    <m/>
    <m/>
    <x v="103"/>
    <m/>
    <x v="29"/>
    <m/>
    <m/>
    <m/>
    <n v="-1000"/>
    <x v="11"/>
    <x v="0"/>
    <x v="1"/>
    <x v="4"/>
  </r>
  <r>
    <m/>
    <m/>
    <x v="132"/>
    <m/>
    <x v="29"/>
    <m/>
    <m/>
    <m/>
    <n v="-2760"/>
    <x v="11"/>
    <x v="0"/>
    <x v="1"/>
    <x v="5"/>
  </r>
  <r>
    <m/>
    <m/>
    <x v="53"/>
    <m/>
    <x v="25"/>
    <m/>
    <m/>
    <m/>
    <n v="-149"/>
    <x v="7"/>
    <x v="0"/>
    <x v="1"/>
    <x v="2"/>
  </r>
  <r>
    <m/>
    <m/>
    <x v="81"/>
    <m/>
    <x v="25"/>
    <m/>
    <m/>
    <m/>
    <n v="-149"/>
    <x v="7"/>
    <x v="0"/>
    <x v="1"/>
    <x v="3"/>
  </r>
  <r>
    <m/>
    <m/>
    <x v="103"/>
    <m/>
    <x v="25"/>
    <m/>
    <m/>
    <m/>
    <n v="-149"/>
    <x v="7"/>
    <x v="0"/>
    <x v="1"/>
    <x v="4"/>
  </r>
  <r>
    <m/>
    <m/>
    <x v="132"/>
    <m/>
    <x v="25"/>
    <m/>
    <m/>
    <m/>
    <n v="-149"/>
    <x v="7"/>
    <x v="0"/>
    <x v="1"/>
    <x v="5"/>
  </r>
  <r>
    <m/>
    <m/>
    <x v="161"/>
    <m/>
    <x v="25"/>
    <m/>
    <m/>
    <m/>
    <n v="-299"/>
    <x v="7"/>
    <x v="0"/>
    <x v="1"/>
    <x v="6"/>
  </r>
  <r>
    <m/>
    <m/>
    <x v="187"/>
    <m/>
    <x v="25"/>
    <m/>
    <m/>
    <m/>
    <n v="-299"/>
    <x v="7"/>
    <x v="0"/>
    <x v="1"/>
    <x v="7"/>
  </r>
  <r>
    <m/>
    <m/>
    <x v="81"/>
    <m/>
    <x v="21"/>
    <m/>
    <m/>
    <m/>
    <n v="-602"/>
    <x v="7"/>
    <x v="0"/>
    <x v="1"/>
    <x v="3"/>
  </r>
  <r>
    <m/>
    <m/>
    <x v="53"/>
    <m/>
    <x v="13"/>
    <m/>
    <m/>
    <m/>
    <n v="-1500"/>
    <x v="7"/>
    <x v="0"/>
    <x v="1"/>
    <x v="2"/>
  </r>
  <r>
    <m/>
    <m/>
    <x v="81"/>
    <m/>
    <x v="13"/>
    <m/>
    <m/>
    <m/>
    <n v="-2565"/>
    <x v="7"/>
    <x v="0"/>
    <x v="1"/>
    <x v="3"/>
  </r>
  <r>
    <m/>
    <m/>
    <x v="103"/>
    <m/>
    <x v="13"/>
    <m/>
    <m/>
    <m/>
    <n v="-1960"/>
    <x v="7"/>
    <x v="0"/>
    <x v="1"/>
    <x v="4"/>
  </r>
  <r>
    <m/>
    <m/>
    <x v="132"/>
    <m/>
    <x v="13"/>
    <m/>
    <m/>
    <m/>
    <n v="-660"/>
    <x v="7"/>
    <x v="0"/>
    <x v="1"/>
    <x v="5"/>
  </r>
  <r>
    <m/>
    <m/>
    <x v="161"/>
    <m/>
    <x v="13"/>
    <m/>
    <m/>
    <m/>
    <n v="-2000"/>
    <x v="7"/>
    <x v="0"/>
    <x v="1"/>
    <x v="6"/>
  </r>
  <r>
    <m/>
    <m/>
    <x v="187"/>
    <m/>
    <x v="13"/>
    <m/>
    <m/>
    <m/>
    <n v="-2000"/>
    <x v="7"/>
    <x v="0"/>
    <x v="1"/>
    <x v="7"/>
  </r>
  <r>
    <m/>
    <m/>
    <x v="53"/>
    <m/>
    <x v="1"/>
    <m/>
    <m/>
    <m/>
    <n v="-7000"/>
    <x v="1"/>
    <x v="0"/>
    <x v="1"/>
    <x v="2"/>
  </r>
  <r>
    <m/>
    <m/>
    <x v="81"/>
    <m/>
    <x v="1"/>
    <m/>
    <m/>
    <m/>
    <n v="-7000"/>
    <x v="1"/>
    <x v="0"/>
    <x v="1"/>
    <x v="3"/>
  </r>
  <r>
    <m/>
    <m/>
    <x v="103"/>
    <m/>
    <x v="1"/>
    <m/>
    <m/>
    <m/>
    <n v="-7000"/>
    <x v="1"/>
    <x v="0"/>
    <x v="1"/>
    <x v="4"/>
  </r>
  <r>
    <m/>
    <m/>
    <x v="132"/>
    <m/>
    <x v="1"/>
    <m/>
    <m/>
    <m/>
    <n v="-5000"/>
    <x v="1"/>
    <x v="0"/>
    <x v="1"/>
    <x v="5"/>
  </r>
  <r>
    <m/>
    <m/>
    <x v="161"/>
    <m/>
    <x v="1"/>
    <m/>
    <m/>
    <m/>
    <n v="-7000"/>
    <x v="1"/>
    <x v="0"/>
    <x v="1"/>
    <x v="6"/>
  </r>
  <r>
    <m/>
    <m/>
    <x v="187"/>
    <m/>
    <x v="1"/>
    <m/>
    <m/>
    <m/>
    <n v="-6000"/>
    <x v="1"/>
    <x v="0"/>
    <x v="1"/>
    <x v="7"/>
  </r>
  <r>
    <m/>
    <m/>
    <x v="53"/>
    <m/>
    <x v="22"/>
    <m/>
    <m/>
    <m/>
    <n v="-1000"/>
    <x v="1"/>
    <x v="0"/>
    <x v="1"/>
    <x v="2"/>
  </r>
  <r>
    <m/>
    <m/>
    <x v="81"/>
    <m/>
    <x v="22"/>
    <m/>
    <m/>
    <m/>
    <n v="-1000"/>
    <x v="1"/>
    <x v="0"/>
    <x v="1"/>
    <x v="3"/>
  </r>
  <r>
    <m/>
    <m/>
    <x v="103"/>
    <m/>
    <x v="22"/>
    <m/>
    <m/>
    <m/>
    <n v="-1000"/>
    <x v="1"/>
    <x v="0"/>
    <x v="1"/>
    <x v="4"/>
  </r>
  <r>
    <m/>
    <m/>
    <x v="161"/>
    <m/>
    <x v="22"/>
    <m/>
    <m/>
    <m/>
    <n v="-1000"/>
    <x v="1"/>
    <x v="0"/>
    <x v="1"/>
    <x v="6"/>
  </r>
  <r>
    <m/>
    <m/>
    <x v="187"/>
    <m/>
    <x v="22"/>
    <m/>
    <m/>
    <m/>
    <n v="-1000"/>
    <x v="1"/>
    <x v="0"/>
    <x v="1"/>
    <x v="7"/>
  </r>
  <r>
    <m/>
    <m/>
    <x v="81"/>
    <m/>
    <x v="14"/>
    <m/>
    <m/>
    <m/>
    <n v="-2000"/>
    <x v="1"/>
    <x v="0"/>
    <x v="1"/>
    <x v="3"/>
  </r>
  <r>
    <m/>
    <m/>
    <x v="103"/>
    <m/>
    <x v="14"/>
    <m/>
    <m/>
    <m/>
    <n v="-2000"/>
    <x v="1"/>
    <x v="0"/>
    <x v="1"/>
    <x v="4"/>
  </r>
  <r>
    <m/>
    <m/>
    <x v="53"/>
    <m/>
    <x v="2"/>
    <m/>
    <m/>
    <m/>
    <n v="-3000"/>
    <x v="1"/>
    <x v="0"/>
    <x v="1"/>
    <x v="2"/>
  </r>
  <r>
    <m/>
    <m/>
    <x v="81"/>
    <m/>
    <x v="2"/>
    <m/>
    <m/>
    <m/>
    <n v="-3000"/>
    <x v="1"/>
    <x v="0"/>
    <x v="1"/>
    <x v="3"/>
  </r>
  <r>
    <m/>
    <m/>
    <x v="103"/>
    <m/>
    <x v="2"/>
    <m/>
    <m/>
    <m/>
    <n v="-3000"/>
    <x v="1"/>
    <x v="0"/>
    <x v="1"/>
    <x v="4"/>
  </r>
  <r>
    <m/>
    <m/>
    <x v="132"/>
    <m/>
    <x v="2"/>
    <m/>
    <m/>
    <m/>
    <n v="-4000"/>
    <x v="1"/>
    <x v="0"/>
    <x v="1"/>
    <x v="5"/>
  </r>
  <r>
    <m/>
    <m/>
    <x v="161"/>
    <m/>
    <x v="2"/>
    <m/>
    <m/>
    <m/>
    <n v="-4000"/>
    <x v="1"/>
    <x v="0"/>
    <x v="1"/>
    <x v="6"/>
  </r>
  <r>
    <m/>
    <m/>
    <x v="187"/>
    <m/>
    <x v="2"/>
    <m/>
    <m/>
    <m/>
    <n v="-4000"/>
    <x v="1"/>
    <x v="0"/>
    <x v="1"/>
    <x v="7"/>
  </r>
  <r>
    <m/>
    <m/>
    <x v="53"/>
    <m/>
    <x v="26"/>
    <m/>
    <m/>
    <m/>
    <n v="-300"/>
    <x v="1"/>
    <x v="0"/>
    <x v="1"/>
    <x v="2"/>
  </r>
  <r>
    <m/>
    <m/>
    <x v="81"/>
    <m/>
    <x v="26"/>
    <m/>
    <m/>
    <m/>
    <n v="-300"/>
    <x v="1"/>
    <x v="0"/>
    <x v="1"/>
    <x v="3"/>
  </r>
  <r>
    <m/>
    <m/>
    <x v="103"/>
    <m/>
    <x v="26"/>
    <m/>
    <m/>
    <m/>
    <n v="-300"/>
    <x v="1"/>
    <x v="0"/>
    <x v="1"/>
    <x v="4"/>
  </r>
  <r>
    <m/>
    <m/>
    <x v="132"/>
    <m/>
    <x v="26"/>
    <m/>
    <m/>
    <m/>
    <n v="-300"/>
    <x v="1"/>
    <x v="0"/>
    <x v="1"/>
    <x v="5"/>
  </r>
  <r>
    <m/>
    <m/>
    <x v="187"/>
    <m/>
    <x v="26"/>
    <m/>
    <m/>
    <m/>
    <n v="-300"/>
    <x v="1"/>
    <x v="0"/>
    <x v="1"/>
    <x v="7"/>
  </r>
  <r>
    <m/>
    <m/>
    <x v="53"/>
    <m/>
    <x v="28"/>
    <m/>
    <m/>
    <m/>
    <n v="-1500"/>
    <x v="8"/>
    <x v="0"/>
    <x v="1"/>
    <x v="2"/>
  </r>
  <r>
    <m/>
    <m/>
    <x v="132"/>
    <m/>
    <x v="28"/>
    <m/>
    <m/>
    <m/>
    <n v="-4500"/>
    <x v="8"/>
    <x v="0"/>
    <x v="1"/>
    <x v="5"/>
  </r>
  <r>
    <m/>
    <m/>
    <x v="53"/>
    <m/>
    <x v="15"/>
    <m/>
    <m/>
    <m/>
    <n v="-1000"/>
    <x v="8"/>
    <x v="0"/>
    <x v="1"/>
    <x v="2"/>
  </r>
  <r>
    <m/>
    <m/>
    <x v="81"/>
    <m/>
    <x v="15"/>
    <m/>
    <m/>
    <m/>
    <n v="-1000"/>
    <x v="8"/>
    <x v="0"/>
    <x v="1"/>
    <x v="3"/>
  </r>
  <r>
    <m/>
    <m/>
    <x v="103"/>
    <m/>
    <x v="15"/>
    <m/>
    <m/>
    <m/>
    <n v="-1000"/>
    <x v="8"/>
    <x v="0"/>
    <x v="1"/>
    <x v="4"/>
  </r>
  <r>
    <m/>
    <m/>
    <x v="161"/>
    <m/>
    <x v="15"/>
    <m/>
    <m/>
    <m/>
    <n v="-1000"/>
    <x v="8"/>
    <x v="0"/>
    <x v="1"/>
    <x v="6"/>
  </r>
  <r>
    <m/>
    <m/>
    <x v="187"/>
    <m/>
    <x v="15"/>
    <m/>
    <m/>
    <m/>
    <n v="-1000"/>
    <x v="8"/>
    <x v="0"/>
    <x v="1"/>
    <x v="7"/>
  </r>
  <r>
    <m/>
    <m/>
    <x v="53"/>
    <m/>
    <x v="11"/>
    <m/>
    <m/>
    <m/>
    <n v="-5000"/>
    <x v="4"/>
    <x v="0"/>
    <x v="1"/>
    <x v="2"/>
  </r>
  <r>
    <m/>
    <m/>
    <x v="81"/>
    <m/>
    <x v="11"/>
    <m/>
    <m/>
    <m/>
    <n v="-5000"/>
    <x v="4"/>
    <x v="0"/>
    <x v="1"/>
    <x v="3"/>
  </r>
  <r>
    <m/>
    <m/>
    <x v="103"/>
    <m/>
    <x v="11"/>
    <m/>
    <m/>
    <m/>
    <n v="-5000"/>
    <x v="4"/>
    <x v="0"/>
    <x v="1"/>
    <x v="4"/>
  </r>
  <r>
    <m/>
    <m/>
    <x v="132"/>
    <m/>
    <x v="11"/>
    <m/>
    <m/>
    <m/>
    <n v="-5000"/>
    <x v="4"/>
    <x v="0"/>
    <x v="1"/>
    <x v="5"/>
  </r>
  <r>
    <m/>
    <m/>
    <x v="161"/>
    <m/>
    <x v="11"/>
    <m/>
    <m/>
    <m/>
    <n v="-5000"/>
    <x v="4"/>
    <x v="0"/>
    <x v="1"/>
    <x v="6"/>
  </r>
  <r>
    <m/>
    <m/>
    <x v="187"/>
    <m/>
    <x v="11"/>
    <m/>
    <m/>
    <m/>
    <n v="-5000"/>
    <x v="4"/>
    <x v="0"/>
    <x v="1"/>
    <x v="7"/>
  </r>
  <r>
    <m/>
    <m/>
    <x v="188"/>
    <m/>
    <x v="11"/>
    <m/>
    <m/>
    <m/>
    <n v="-5000"/>
    <x v="4"/>
    <x v="0"/>
    <x v="1"/>
    <x v="8"/>
  </r>
  <r>
    <m/>
    <m/>
    <x v="189"/>
    <m/>
    <x v="11"/>
    <m/>
    <m/>
    <m/>
    <n v="-5000"/>
    <x v="4"/>
    <x v="0"/>
    <x v="1"/>
    <x v="9"/>
  </r>
  <r>
    <m/>
    <m/>
    <x v="190"/>
    <m/>
    <x v="11"/>
    <m/>
    <m/>
    <m/>
    <n v="-5000"/>
    <x v="4"/>
    <x v="0"/>
    <x v="1"/>
    <x v="10"/>
  </r>
  <r>
    <m/>
    <m/>
    <x v="191"/>
    <m/>
    <x v="11"/>
    <m/>
    <m/>
    <m/>
    <n v="-5000"/>
    <x v="4"/>
    <x v="0"/>
    <x v="1"/>
    <x v="11"/>
  </r>
  <r>
    <m/>
    <m/>
    <x v="192"/>
    <m/>
    <x v="11"/>
    <m/>
    <m/>
    <m/>
    <n v="-5000"/>
    <x v="4"/>
    <x v="0"/>
    <x v="1"/>
    <x v="0"/>
  </r>
  <r>
    <m/>
    <m/>
    <x v="193"/>
    <m/>
    <x v="11"/>
    <m/>
    <m/>
    <m/>
    <n v="-5000"/>
    <x v="4"/>
    <x v="0"/>
    <x v="1"/>
    <x v="1"/>
  </r>
  <r>
    <m/>
    <m/>
    <x v="53"/>
    <m/>
    <x v="12"/>
    <m/>
    <m/>
    <m/>
    <n v="-5000"/>
    <x v="4"/>
    <x v="0"/>
    <x v="1"/>
    <x v="2"/>
  </r>
  <r>
    <m/>
    <m/>
    <x v="81"/>
    <m/>
    <x v="12"/>
    <m/>
    <m/>
    <m/>
    <n v="-4621"/>
    <x v="4"/>
    <x v="0"/>
    <x v="1"/>
    <x v="3"/>
  </r>
  <r>
    <m/>
    <m/>
    <x v="103"/>
    <m/>
    <x v="12"/>
    <m/>
    <m/>
    <m/>
    <n v="-4621"/>
    <x v="4"/>
    <x v="0"/>
    <x v="1"/>
    <x v="4"/>
  </r>
  <r>
    <m/>
    <m/>
    <x v="132"/>
    <m/>
    <x v="12"/>
    <m/>
    <m/>
    <m/>
    <n v="-4621"/>
    <x v="4"/>
    <x v="0"/>
    <x v="1"/>
    <x v="5"/>
  </r>
  <r>
    <m/>
    <m/>
    <x v="161"/>
    <m/>
    <x v="12"/>
    <m/>
    <m/>
    <m/>
    <n v="-4621"/>
    <x v="4"/>
    <x v="0"/>
    <x v="1"/>
    <x v="6"/>
  </r>
  <r>
    <m/>
    <m/>
    <x v="187"/>
    <m/>
    <x v="12"/>
    <m/>
    <m/>
    <m/>
    <n v="-4621"/>
    <x v="4"/>
    <x v="0"/>
    <x v="1"/>
    <x v="7"/>
  </r>
  <r>
    <m/>
    <m/>
    <x v="188"/>
    <m/>
    <x v="12"/>
    <m/>
    <m/>
    <m/>
    <n v="-4621"/>
    <x v="4"/>
    <x v="0"/>
    <x v="1"/>
    <x v="8"/>
  </r>
  <r>
    <m/>
    <m/>
    <x v="189"/>
    <m/>
    <x v="12"/>
    <m/>
    <m/>
    <m/>
    <n v="-4621"/>
    <x v="4"/>
    <x v="0"/>
    <x v="1"/>
    <x v="9"/>
  </r>
  <r>
    <m/>
    <m/>
    <x v="190"/>
    <m/>
    <x v="12"/>
    <m/>
    <m/>
    <m/>
    <n v="-4621"/>
    <x v="4"/>
    <x v="0"/>
    <x v="1"/>
    <x v="10"/>
  </r>
  <r>
    <m/>
    <m/>
    <x v="191"/>
    <m/>
    <x v="12"/>
    <m/>
    <m/>
    <m/>
    <n v="-4621"/>
    <x v="4"/>
    <x v="0"/>
    <x v="1"/>
    <x v="11"/>
  </r>
  <r>
    <m/>
    <m/>
    <x v="192"/>
    <m/>
    <x v="12"/>
    <m/>
    <m/>
    <m/>
    <n v="-4621"/>
    <x v="4"/>
    <x v="0"/>
    <x v="1"/>
    <x v="0"/>
  </r>
  <r>
    <m/>
    <m/>
    <x v="193"/>
    <m/>
    <x v="12"/>
    <m/>
    <m/>
    <m/>
    <n v="-4621"/>
    <x v="4"/>
    <x v="0"/>
    <x v="1"/>
    <x v="1"/>
  </r>
  <r>
    <m/>
    <m/>
    <x v="53"/>
    <m/>
    <x v="7"/>
    <m/>
    <m/>
    <m/>
    <n v="-55629"/>
    <x v="4"/>
    <x v="0"/>
    <x v="1"/>
    <x v="2"/>
  </r>
  <r>
    <m/>
    <m/>
    <x v="81"/>
    <m/>
    <x v="7"/>
    <m/>
    <m/>
    <m/>
    <n v="-40991"/>
    <x v="4"/>
    <x v="0"/>
    <x v="1"/>
    <x v="3"/>
  </r>
  <r>
    <m/>
    <m/>
    <x v="187"/>
    <m/>
    <x v="7"/>
    <m/>
    <m/>
    <m/>
    <n v="-5000"/>
    <x v="4"/>
    <x v="0"/>
    <x v="1"/>
    <x v="7"/>
  </r>
  <r>
    <m/>
    <m/>
    <x v="81"/>
    <m/>
    <x v="8"/>
    <m/>
    <m/>
    <m/>
    <n v="-10000"/>
    <x v="5"/>
    <x v="2"/>
    <x v="1"/>
    <x v="3"/>
  </r>
  <r>
    <m/>
    <m/>
    <x v="103"/>
    <m/>
    <x v="8"/>
    <m/>
    <m/>
    <m/>
    <n v="-55000"/>
    <x v="5"/>
    <x v="2"/>
    <x v="1"/>
    <x v="4"/>
  </r>
  <r>
    <m/>
    <m/>
    <x v="132"/>
    <m/>
    <x v="8"/>
    <m/>
    <m/>
    <m/>
    <n v="-67000"/>
    <x v="5"/>
    <x v="2"/>
    <x v="1"/>
    <x v="5"/>
  </r>
  <r>
    <m/>
    <m/>
    <x v="161"/>
    <m/>
    <x v="8"/>
    <m/>
    <m/>
    <m/>
    <n v="-12000"/>
    <x v="5"/>
    <x v="2"/>
    <x v="1"/>
    <x v="6"/>
  </r>
  <r>
    <m/>
    <m/>
    <x v="187"/>
    <m/>
    <x v="8"/>
    <m/>
    <m/>
    <m/>
    <n v="-12000"/>
    <x v="5"/>
    <x v="2"/>
    <x v="1"/>
    <x v="7"/>
  </r>
  <r>
    <m/>
    <m/>
    <x v="53"/>
    <m/>
    <x v="6"/>
    <m/>
    <m/>
    <m/>
    <n v="48187"/>
    <x v="3"/>
    <x v="1"/>
    <x v="1"/>
    <x v="2"/>
  </r>
  <r>
    <m/>
    <m/>
    <x v="81"/>
    <m/>
    <x v="6"/>
    <m/>
    <m/>
    <m/>
    <n v="56200"/>
    <x v="3"/>
    <x v="1"/>
    <x v="1"/>
    <x v="3"/>
  </r>
  <r>
    <m/>
    <m/>
    <x v="103"/>
    <m/>
    <x v="6"/>
    <m/>
    <m/>
    <m/>
    <n v="56200"/>
    <x v="3"/>
    <x v="1"/>
    <x v="1"/>
    <x v="4"/>
  </r>
  <r>
    <m/>
    <m/>
    <x v="132"/>
    <m/>
    <x v="6"/>
    <m/>
    <m/>
    <m/>
    <n v="56200"/>
    <x v="3"/>
    <x v="1"/>
    <x v="1"/>
    <x v="5"/>
  </r>
  <r>
    <m/>
    <m/>
    <x v="161"/>
    <m/>
    <x v="6"/>
    <m/>
    <m/>
    <m/>
    <n v="56200"/>
    <x v="3"/>
    <x v="1"/>
    <x v="1"/>
    <x v="6"/>
  </r>
  <r>
    <m/>
    <m/>
    <x v="187"/>
    <m/>
    <x v="6"/>
    <m/>
    <m/>
    <m/>
    <n v="56200"/>
    <x v="3"/>
    <x v="1"/>
    <x v="1"/>
    <x v="7"/>
  </r>
  <r>
    <m/>
    <m/>
    <x v="53"/>
    <m/>
    <x v="9"/>
    <m/>
    <m/>
    <m/>
    <n v="43720"/>
    <x v="3"/>
    <x v="1"/>
    <x v="1"/>
    <x v="2"/>
  </r>
  <r>
    <m/>
    <m/>
    <x v="81"/>
    <m/>
    <x v="9"/>
    <m/>
    <m/>
    <m/>
    <n v="43720"/>
    <x v="3"/>
    <x v="1"/>
    <x v="1"/>
    <x v="3"/>
  </r>
  <r>
    <m/>
    <m/>
    <x v="103"/>
    <m/>
    <x v="9"/>
    <m/>
    <m/>
    <m/>
    <n v="43500"/>
    <x v="3"/>
    <x v="1"/>
    <x v="1"/>
    <x v="4"/>
  </r>
  <r>
    <m/>
    <m/>
    <x v="132"/>
    <m/>
    <x v="9"/>
    <m/>
    <m/>
    <m/>
    <n v="48500"/>
    <x v="3"/>
    <x v="1"/>
    <x v="1"/>
    <x v="5"/>
  </r>
  <r>
    <m/>
    <m/>
    <x v="161"/>
    <m/>
    <x v="9"/>
    <m/>
    <m/>
    <m/>
    <n v="48500"/>
    <x v="3"/>
    <x v="1"/>
    <x v="1"/>
    <x v="6"/>
  </r>
  <r>
    <m/>
    <m/>
    <x v="187"/>
    <m/>
    <x v="9"/>
    <m/>
    <m/>
    <m/>
    <n v="48500"/>
    <x v="3"/>
    <x v="1"/>
    <x v="1"/>
    <x v="7"/>
  </r>
  <r>
    <m/>
    <m/>
    <x v="132"/>
    <m/>
    <x v="36"/>
    <m/>
    <m/>
    <m/>
    <n v="-8000"/>
    <x v="14"/>
    <x v="1"/>
    <x v="1"/>
    <x v="5"/>
  </r>
  <r>
    <m/>
    <m/>
    <x v="132"/>
    <m/>
    <x v="34"/>
    <m/>
    <m/>
    <m/>
    <n v="-10000"/>
    <x v="14"/>
    <x v="1"/>
    <x v="1"/>
    <x v="5"/>
  </r>
  <r>
    <m/>
    <m/>
    <x v="132"/>
    <m/>
    <x v="35"/>
    <m/>
    <m/>
    <m/>
    <n v="-6875"/>
    <x v="13"/>
    <x v="0"/>
    <x v="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rofitLoss" cacheId="0" applyNumberFormats="0" applyBorderFormats="0" applyFontFormats="0" applyPatternFormats="0" applyAlignmentFormats="0" applyWidthHeightFormats="1" dataCaption="Values" updatedVersion="6" minRefreshableVersion="5" showDrill="0" useAutoFormatting="1" rowGrandTotals="0" itemPrintTitles="1" createdVersion="6" indent="0" outline="1" outlineData="1" multipleFieldFilters="0" rowHeaderCaption="Personal P&amp;L">
  <location ref="Y25:AB47" firstHeaderRow="0" firstDataRow="1" firstDataCol="1"/>
  <pivotFields count="14">
    <pivotField subtotalTop="0" showAll="0" insertBlankRow="1"/>
    <pivotField showAll="0" defaultSubtotal="0"/>
    <pivotField numFmtId="14" subtotalTop="0" showAll="0" insertBlankRow="1">
      <items count="199">
        <item x="0"/>
        <item x="2"/>
        <item x="3"/>
        <item x="5"/>
        <item x="4"/>
        <item x="1"/>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m="1" x="195"/>
        <item x="168"/>
        <item x="169"/>
        <item x="170"/>
        <item x="171"/>
        <item x="172"/>
        <item x="173"/>
        <item x="174"/>
        <item x="175"/>
        <item x="176"/>
        <item x="177"/>
        <item x="178"/>
        <item x="179"/>
        <item x="180"/>
        <item x="181"/>
        <item x="182"/>
        <item x="183"/>
        <item x="184"/>
        <item x="185"/>
        <item x="186"/>
        <item m="1" x="197"/>
        <item x="187"/>
        <item x="188"/>
        <item x="189"/>
        <item x="190"/>
        <item x="191"/>
        <item x="192"/>
        <item x="193"/>
        <item m="1" x="196"/>
        <item m="1" x="194"/>
        <item t="default"/>
      </items>
    </pivotField>
    <pivotField subtotalTop="0" showAll="0" insertBlankRow="1"/>
    <pivotField subtotalTop="0" showAll="0" insertBlankRow="1"/>
    <pivotField subtotalTop="0" showAll="0" insertBlankRow="1"/>
    <pivotField subtotalTop="0" showAll="0" insertBlankRow="1"/>
    <pivotField dataField="1" subtotalTop="0" showAll="0" insertBlankRow="1"/>
    <pivotField dataField="1" subtotalTop="0" showAll="0" insertBlankRow="1"/>
    <pivotField axis="axisRow" subtotalTop="0" showAll="0" insertBlankRow="1">
      <items count="18">
        <item x="0"/>
        <item x="10"/>
        <item x="2"/>
        <item x="1"/>
        <item x="11"/>
        <item x="8"/>
        <item x="9"/>
        <item x="3"/>
        <item x="5"/>
        <item x="7"/>
        <item x="6"/>
        <item x="4"/>
        <item x="12"/>
        <item m="1" x="15"/>
        <item m="1" x="16"/>
        <item x="13"/>
        <item x="14"/>
        <item t="default"/>
      </items>
    </pivotField>
    <pivotField axis="axisRow" subtotalTop="0" showAll="0" insertBlankRow="1">
      <items count="9">
        <item x="1"/>
        <item x="0"/>
        <item x="2"/>
        <item x="3"/>
        <item sd="0" f="1" x="6"/>
        <item m="1" x="4"/>
        <item m="1" x="5"/>
        <item m="1" x="7"/>
        <item t="default"/>
      </items>
    </pivotField>
    <pivotField subtotalTop="0" showAll="0" insertBlankRow="1"/>
    <pivotField subtotalTop="0" showAll="0" insertBlankRow="1"/>
    <pivotField dataField="1" subtotalTop="0" dragToRow="0" dragToCol="0" dragToPage="0" showAll="0" insertBlankRow="1" defaultSubtotal="0"/>
  </pivotFields>
  <rowFields count="2">
    <field x="10"/>
    <field x="9"/>
  </rowFields>
  <rowItems count="22">
    <i>
      <x/>
    </i>
    <i r="1">
      <x v="7"/>
    </i>
    <i r="1">
      <x v="16"/>
    </i>
    <i t="default">
      <x/>
    </i>
    <i t="blank">
      <x/>
    </i>
    <i>
      <x v="1"/>
    </i>
    <i r="1">
      <x/>
    </i>
    <i r="1">
      <x v="1"/>
    </i>
    <i r="1">
      <x v="3"/>
    </i>
    <i r="1">
      <x v="5"/>
    </i>
    <i r="1">
      <x v="6"/>
    </i>
    <i r="1">
      <x v="9"/>
    </i>
    <i r="1">
      <x v="11"/>
    </i>
    <i r="1">
      <x v="15"/>
    </i>
    <i t="default">
      <x v="1"/>
    </i>
    <i t="blank">
      <x v="1"/>
    </i>
    <i>
      <x v="2"/>
    </i>
    <i r="1">
      <x v="8"/>
    </i>
    <i t="default">
      <x v="2"/>
    </i>
    <i t="blank">
      <x v="2"/>
    </i>
    <i>
      <x v="4"/>
    </i>
    <i t="blank">
      <x v="4"/>
    </i>
  </rowItems>
  <colFields count="1">
    <field x="-2"/>
  </colFields>
  <colItems count="3">
    <i>
      <x/>
    </i>
    <i i="1">
      <x v="1"/>
    </i>
    <i i="2">
      <x v="2"/>
    </i>
  </colItems>
  <dataFields count="3">
    <dataField name=" ACTUAL" fld="7" baseField="10" baseItem="0" numFmtId="168"/>
    <dataField name=" BUDEGT" fld="8" baseField="0" baseItem="0" numFmtId="168"/>
    <dataField name=" VARIANCE" fld="13" baseField="0" baseItem="0" numFmtId="168"/>
  </dataFields>
  <pivotTableStyleInfo name="PivotStyleMedium4" showRowHeaders="1" showColHeaders="1" showRowStripes="0" showColStripes="0" showLastColumn="1"/>
  <filters count="1">
    <filter fld="2" type="dateBetween" evalOrder="-1" id="1106" name="Date">
      <autoFilter ref="A1">
        <filterColumn colId="0">
          <customFilters and="1">
            <customFilter operator="greaterThanOrEqual" val="46143"/>
            <customFilter operator="lessThanOrEqual" val="461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x14:conditionalFormats count="1">
          <x14:conditionalFormat scope="field" priority="1" id="{569A588C-B209-455A-8FC5-7A75C2789763}">
            <x14:pivotAreas count="1">
              <pivotArea outline="0" collapsedLevelsAreSubtotals="1" fieldPosition="0">
                <references count="2">
                  <reference field="4294967294" count="1" selected="0">
                    <x v="2"/>
                  </reference>
                  <reference field="9" count="0" selected="0"/>
                </references>
              </pivotArea>
            </x14:pivotAreas>
          </x14:conditionalFormat>
        </x14:conditionalFormats>
      </x14:pivotTableDefinition>
    </ext>
  </extLst>
</pivotTableDefinition>
</file>

<file path=xl/pivotTables/pivotTable2.xml><?xml version="1.0" encoding="utf-8"?>
<pivotTableDefinition xmlns="http://schemas.openxmlformats.org/spreadsheetml/2006/main" name="IncActBud"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1" rowHeaderCaption="Sub-Category">
  <location ref="N11:P14" firstHeaderRow="0" firstDataRow="1" firstDataCol="1"/>
  <pivotFields count="14">
    <pivotField showAll="0"/>
    <pivotField showAll="0" defaultSubtotal="0"/>
    <pivotField numFmtId="14"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dataField="1" showAll="0" defaultSubtotal="0"/>
    <pivotField dataField="1" showAll="0"/>
    <pivotField showAll="0"/>
    <pivotField showAll="0">
      <items count="9">
        <item h="1" x="0"/>
        <item x="1"/>
        <item h="1" x="2"/>
        <item h="1" x="3"/>
        <item h="1" f="1" x="6"/>
        <item h="1" m="1" x="4"/>
        <item h="1" m="1" x="5"/>
        <item h="1" m="1" x="7"/>
        <item t="default"/>
      </items>
    </pivotField>
    <pivotField axis="axisRow" showAll="0">
      <items count="4">
        <item h="1" m="1" x="2"/>
        <item x="0"/>
        <item h="1" x="1"/>
        <item t="default"/>
      </items>
    </pivotField>
    <pivotField axis="axisRow" showAll="0">
      <items count="13">
        <item x="2"/>
        <item x="3"/>
        <item x="4"/>
        <item x="5"/>
        <item x="6"/>
        <item x="7"/>
        <item x="8"/>
        <item x="9"/>
        <item x="10"/>
        <item x="11"/>
        <item x="0"/>
        <item x="1"/>
        <item t="default"/>
      </items>
    </pivotField>
    <pivotField dragToRow="0" dragToCol="0" dragToPage="0" showAll="0" defaultSubtotal="0"/>
  </pivotFields>
  <rowFields count="2">
    <field x="11"/>
    <field x="12"/>
  </rowFields>
  <rowItems count="3">
    <i>
      <x v="1"/>
    </i>
    <i r="1">
      <x v="10"/>
    </i>
    <i r="1">
      <x v="11"/>
    </i>
  </rowItems>
  <colFields count="1">
    <field x="-2"/>
  </colFields>
  <colItems count="2">
    <i>
      <x/>
    </i>
    <i i="1">
      <x v="1"/>
    </i>
  </colItems>
  <dataFields count="2">
    <dataField name="Sum of Actual" fld="7" baseField="4" baseItem="0" numFmtId="168"/>
    <dataField name="Sum of Budget" fld="8" baseField="0" baseItem="0" numFmtId="168"/>
  </dataFields>
  <formats count="3">
    <format dxfId="2">
      <pivotArea outline="0" collapsedLevelsAreSubtotals="1" fieldPosition="0"/>
    </format>
    <format dxfId="1">
      <pivotArea outline="0" fieldPosition="0">
        <references count="1">
          <reference field="4294967294" count="1">
            <x v="0"/>
          </reference>
        </references>
      </pivotArea>
    </format>
    <format dxfId="0">
      <pivotArea outline="0" fieldPosition="0">
        <references count="1">
          <reference field="4294967294" count="1">
            <x v="1"/>
          </reference>
        </references>
      </pivotArea>
    </format>
  </formats>
  <chartFormats count="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Medium2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Income" cacheId="0" applyNumberFormats="0" applyBorderFormats="0" applyFontFormats="0" applyPatternFormats="0" applyAlignmentFormats="0" applyWidthHeightFormats="1" dataCaption="Values" updatedVersion="6" minRefreshableVersion="5" useAutoFormatting="1" rowGrandTotals="0" itemPrintTitles="1" createdVersion="6" indent="0" outline="1" outlineData="1" multipleFieldFilters="0" chartFormat="37" rowHeaderCaption="Sub-Category">
  <location ref="R11:S14" firstHeaderRow="1" firstDataRow="1" firstDataCol="1"/>
  <pivotFields count="14">
    <pivotField showAll="0"/>
    <pivotField showAll="0" defaultSubtotal="0"/>
    <pivotField numFmtId="14" showAll="0">
      <items count="199">
        <item x="0"/>
        <item x="2"/>
        <item x="3"/>
        <item x="5"/>
        <item x="4"/>
        <item x="1"/>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m="1" x="195"/>
        <item x="168"/>
        <item x="169"/>
        <item x="170"/>
        <item x="171"/>
        <item x="172"/>
        <item x="173"/>
        <item x="174"/>
        <item x="175"/>
        <item x="176"/>
        <item x="177"/>
        <item x="178"/>
        <item x="179"/>
        <item x="180"/>
        <item x="181"/>
        <item x="182"/>
        <item x="183"/>
        <item x="184"/>
        <item x="185"/>
        <item x="186"/>
        <item m="1" x="197"/>
        <item x="187"/>
        <item x="188"/>
        <item x="189"/>
        <item x="190"/>
        <item x="191"/>
        <item x="192"/>
        <item x="193"/>
        <item m="1" x="196"/>
        <item m="1" x="194"/>
        <item t="default"/>
      </items>
    </pivotField>
    <pivotField showAll="0"/>
    <pivotField axis="axisRow" showAll="0" sortType="descending">
      <items count="45">
        <item x="28"/>
        <item x="14"/>
        <item x="7"/>
        <item m="1" x="42"/>
        <item x="27"/>
        <item x="2"/>
        <item x="19"/>
        <item x="3"/>
        <item x="29"/>
        <item x="1"/>
        <item x="26"/>
        <item x="16"/>
        <item x="32"/>
        <item x="8"/>
        <item x="15"/>
        <item x="20"/>
        <item x="21"/>
        <item m="1" x="41"/>
        <item x="17"/>
        <item x="4"/>
        <item x="10"/>
        <item x="24"/>
        <item x="25"/>
        <item x="22"/>
        <item x="0"/>
        <item m="1" x="43"/>
        <item m="1" x="40"/>
        <item x="37"/>
        <item x="30"/>
        <item x="18"/>
        <item x="5"/>
        <item x="11"/>
        <item x="12"/>
        <item x="6"/>
        <item x="9"/>
        <item x="23"/>
        <item x="31"/>
        <item m="1" x="38"/>
        <item x="13"/>
        <item x="33"/>
        <item x="34"/>
        <item m="1" x="39"/>
        <item x="35"/>
        <item x="36"/>
        <item t="default"/>
      </items>
      <autoSortScope>
        <pivotArea dataOnly="0" outline="0" fieldPosition="0">
          <references count="1">
            <reference field="4294967294" count="1" selected="0">
              <x v="0"/>
            </reference>
          </references>
        </pivotArea>
      </autoSortScope>
    </pivotField>
    <pivotField showAll="0"/>
    <pivotField showAll="0"/>
    <pivotField dataField="1" showAll="0" defaultSubtotal="0"/>
    <pivotField showAll="0"/>
    <pivotField showAll="0"/>
    <pivotField showAll="0">
      <items count="9">
        <item h="1" x="0"/>
        <item x="1"/>
        <item h="1" x="2"/>
        <item h="1" x="3"/>
        <item h="1" f="1" x="6"/>
        <item h="1" m="1" x="4"/>
        <item h="1" m="1" x="5"/>
        <item h="1" m="1" x="7"/>
        <item t="default"/>
      </items>
    </pivotField>
    <pivotField showAll="0"/>
    <pivotField showAll="0"/>
    <pivotField dragToRow="0" dragToCol="0" dragToPage="0" showAll="0" defaultSubtotal="0"/>
  </pivotFields>
  <rowFields count="1">
    <field x="4"/>
  </rowFields>
  <rowItems count="3">
    <i>
      <x v="33"/>
    </i>
    <i>
      <x v="34"/>
    </i>
    <i>
      <x v="43"/>
    </i>
  </rowItems>
  <colItems count="1">
    <i/>
  </colItems>
  <dataFields count="1">
    <dataField name="Sum of Actual" fld="7" baseField="4" baseItem="0" numFmtId="168"/>
  </dataFields>
  <formats count="2">
    <format dxfId="4">
      <pivotArea outline="0" collapsedLevelsAreSubtotals="1" fieldPosition="0"/>
    </format>
    <format dxfId="3">
      <pivotArea outline="0" fieldPosition="0">
        <references count="1">
          <reference field="4294967294" count="1">
            <x v="0"/>
          </reference>
        </references>
      </pivotArea>
    </format>
  </formats>
  <chartFormats count="13">
    <chartFormat chart="2"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36" format="7" series="1">
      <pivotArea type="data" outline="0" fieldPosition="0">
        <references count="1">
          <reference field="4294967294" count="1" selected="0">
            <x v="0"/>
          </reference>
        </references>
      </pivotArea>
    </chartFormat>
    <chartFormat chart="36" format="8">
      <pivotArea type="data" outline="0" fieldPosition="0">
        <references count="2">
          <reference field="4294967294" count="1" selected="0">
            <x v="0"/>
          </reference>
          <reference field="4" count="1" selected="0">
            <x v="20"/>
          </reference>
        </references>
      </pivotArea>
    </chartFormat>
    <chartFormat chart="36" format="9">
      <pivotArea type="data" outline="0" fieldPosition="0">
        <references count="2">
          <reference field="4294967294" count="1" selected="0">
            <x v="0"/>
          </reference>
          <reference field="4" count="1" selected="0">
            <x v="25"/>
          </reference>
        </references>
      </pivotArea>
    </chartFormat>
    <chartFormat chart="36" format="10">
      <pivotArea type="data" outline="0" fieldPosition="0">
        <references count="2">
          <reference field="4294967294" count="1" selected="0">
            <x v="0"/>
          </reference>
          <reference field="4" count="1" selected="0">
            <x v="33"/>
          </reference>
        </references>
      </pivotArea>
    </chartFormat>
    <chartFormat chart="36" format="11">
      <pivotArea type="data" outline="0" fieldPosition="0">
        <references count="2">
          <reference field="4294967294" count="1" selected="0">
            <x v="0"/>
          </reference>
          <reference field="4" count="1" selected="0">
            <x v="34"/>
          </reference>
        </references>
      </pivotArea>
    </chartFormat>
    <chartFormat chart="36" format="12">
      <pivotArea type="data" outline="0" fieldPosition="0">
        <references count="1">
          <reference field="4294967294" count="1" selected="0">
            <x v="0"/>
          </reference>
        </references>
      </pivotArea>
    </chartFormat>
    <chartFormat chart="36" format="13">
      <pivotArea type="data" outline="0" fieldPosition="0">
        <references count="2">
          <reference field="4294967294" count="1" selected="0">
            <x v="0"/>
          </reference>
          <reference field="4" count="1" selected="0">
            <x v="43"/>
          </reference>
        </references>
      </pivotArea>
    </chartFormat>
    <chartFormat chart="36" format="14">
      <pivotArea type="data" outline="0" fieldPosition="0">
        <references count="2">
          <reference field="4294967294" count="1" selected="0">
            <x v="0"/>
          </reference>
          <reference field="4" count="1" selected="0">
            <x v="40"/>
          </reference>
        </references>
      </pivotArea>
    </chartFormat>
  </chartFormats>
  <pivotTableStyleInfo name="PivotStyleMedium25" showRowHeaders="1" showColHeaders="1" showRowStripes="1" showColStripes="0" showLastColumn="1"/>
  <filters count="1">
    <filter fld="2" type="dateBetween" evalOrder="-1" id="1106" name="Date">
      <autoFilter ref="A1">
        <filterColumn colId="0">
          <customFilters and="1">
            <customFilter operator="greaterThanOrEqual" val="46143"/>
            <customFilter operator="lessThanOrEqual" val="461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ExpActBud"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27" rowHeaderCaption="Sub-Category">
  <location ref="H11:J27" firstHeaderRow="0" firstDataRow="1" firstDataCol="1"/>
  <pivotFields count="14">
    <pivotField showAll="0"/>
    <pivotField showAll="0" defaultSubtotal="0"/>
    <pivotField numFmtId="14"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dataField="1" showAll="0" defaultSubtotal="0"/>
    <pivotField dataField="1" showAll="0"/>
    <pivotField showAll="0"/>
    <pivotField showAll="0">
      <items count="9">
        <item x="0"/>
        <item h="1" x="1"/>
        <item h="1" x="2"/>
        <item h="1" x="3"/>
        <item h="1" f="1" x="6"/>
        <item h="1" m="1" x="4"/>
        <item h="1" m="1" x="5"/>
        <item h="1" m="1" x="7"/>
        <item t="default"/>
      </items>
    </pivotField>
    <pivotField axis="axisRow" showAll="0">
      <items count="4">
        <item m="1" x="2"/>
        <item x="0"/>
        <item x="1"/>
        <item t="default"/>
      </items>
    </pivotField>
    <pivotField axis="axisRow" showAll="0">
      <items count="13">
        <item x="2"/>
        <item x="3"/>
        <item x="4"/>
        <item x="5"/>
        <item x="6"/>
        <item x="7"/>
        <item x="8"/>
        <item x="9"/>
        <item x="10"/>
        <item x="11"/>
        <item x="0"/>
        <item x="1"/>
        <item t="default"/>
      </items>
    </pivotField>
    <pivotField dragToRow="0" dragToCol="0" dragToPage="0" showAll="0" defaultSubtotal="0"/>
  </pivotFields>
  <rowFields count="2">
    <field x="11"/>
    <field x="12"/>
  </rowFields>
  <rowItems count="16">
    <i>
      <x v="1"/>
    </i>
    <i r="1">
      <x v="10"/>
    </i>
    <i r="1">
      <x v="11"/>
    </i>
    <i>
      <x v="2"/>
    </i>
    <i r="1">
      <x/>
    </i>
    <i r="1">
      <x v="1"/>
    </i>
    <i r="1">
      <x v="2"/>
    </i>
    <i r="1">
      <x v="3"/>
    </i>
    <i r="1">
      <x v="4"/>
    </i>
    <i r="1">
      <x v="5"/>
    </i>
    <i r="1">
      <x v="6"/>
    </i>
    <i r="1">
      <x v="7"/>
    </i>
    <i r="1">
      <x v="8"/>
    </i>
    <i r="1">
      <x v="9"/>
    </i>
    <i r="1">
      <x v="10"/>
    </i>
    <i r="1">
      <x v="11"/>
    </i>
  </rowItems>
  <colFields count="1">
    <field x="-2"/>
  </colFields>
  <colItems count="2">
    <i>
      <x/>
    </i>
    <i i="1">
      <x v="1"/>
    </i>
  </colItems>
  <dataFields count="2">
    <dataField name="Sum of Actual" fld="7" baseField="4" baseItem="0" numFmtId="168"/>
    <dataField name="Sum of Budget" fld="8" baseField="0" baseItem="0" numFmtId="168"/>
  </dataFields>
  <formats count="3">
    <format dxfId="7">
      <pivotArea outline="0" collapsedLevelsAreSubtotals="1" fieldPosition="0"/>
    </format>
    <format dxfId="6">
      <pivotArea outline="0" fieldPosition="0">
        <references count="1">
          <reference field="4294967294" count="1">
            <x v="0"/>
          </reference>
        </references>
      </pivotArea>
    </format>
    <format dxfId="5">
      <pivotArea outline="0" fieldPosition="0">
        <references count="1">
          <reference field="4294967294" count="1">
            <x v="1"/>
          </reference>
        </references>
      </pivotArea>
    </format>
  </formats>
  <chartFormats count="4">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26" format="10" series="1">
      <pivotArea type="data" outline="0" fieldPosition="0">
        <references count="1">
          <reference field="4294967294" count="1" selected="0">
            <x v="0"/>
          </reference>
        </references>
      </pivotArea>
    </chartFormat>
    <chartFormat chart="26" format="11" series="1">
      <pivotArea type="data" outline="0" fieldPosition="0">
        <references count="1">
          <reference field="4294967294" count="1" selected="0">
            <x v="1"/>
          </reference>
        </references>
      </pivotArea>
    </chartFormat>
  </chartFormats>
  <pivotTableStyleInfo name="PivotStyleMedium2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ExpbyCategory" cacheId="0" applyNumberFormats="0" applyBorderFormats="0" applyFontFormats="0" applyPatternFormats="0" applyAlignmentFormats="0" applyWidthHeightFormats="1" dataCaption="Values" updatedVersion="6" minRefreshableVersion="5" useAutoFormatting="1" rowGrandTotals="0" itemPrintTitles="1" createdVersion="6" indent="0" outline="1" outlineData="1" multipleFieldFilters="0" chartFormat="10" rowHeaderCaption="Sub-Category">
  <location ref="D11:F19" firstHeaderRow="0" firstDataRow="1" firstDataCol="1"/>
  <pivotFields count="14">
    <pivotField showAll="0"/>
    <pivotField showAll="0" defaultSubtotal="0"/>
    <pivotField numFmtId="14" showAll="0">
      <items count="199">
        <item x="0"/>
        <item x="2"/>
        <item x="3"/>
        <item x="5"/>
        <item x="4"/>
        <item x="1"/>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m="1" x="195"/>
        <item x="168"/>
        <item x="169"/>
        <item x="170"/>
        <item x="171"/>
        <item x="172"/>
        <item x="173"/>
        <item x="174"/>
        <item x="175"/>
        <item x="176"/>
        <item x="177"/>
        <item x="178"/>
        <item x="179"/>
        <item x="180"/>
        <item x="181"/>
        <item x="182"/>
        <item x="183"/>
        <item x="184"/>
        <item x="185"/>
        <item x="186"/>
        <item m="1" x="197"/>
        <item x="187"/>
        <item x="188"/>
        <item x="189"/>
        <item x="190"/>
        <item x="191"/>
        <item x="192"/>
        <item x="193"/>
        <item m="1" x="196"/>
        <item m="1" x="194"/>
        <item t="default"/>
      </items>
    </pivotField>
    <pivotField showAll="0"/>
    <pivotField showAll="0" sortType="ascending">
      <autoSortScope>
        <pivotArea dataOnly="0" outline="0" fieldPosition="0">
          <references count="1">
            <reference field="4294967294" count="1" selected="0">
              <x v="0"/>
            </reference>
          </references>
        </pivotArea>
      </autoSortScope>
    </pivotField>
    <pivotField showAll="0"/>
    <pivotField showAll="0"/>
    <pivotField dataField="1" showAll="0" defaultSubtotal="0"/>
    <pivotField dataField="1" showAll="0"/>
    <pivotField axis="axisRow" showAll="0">
      <items count="18">
        <item x="0"/>
        <item x="10"/>
        <item x="2"/>
        <item x="1"/>
        <item x="11"/>
        <item x="8"/>
        <item x="9"/>
        <item x="3"/>
        <item x="5"/>
        <item x="7"/>
        <item x="6"/>
        <item x="4"/>
        <item x="12"/>
        <item m="1" x="15"/>
        <item m="1" x="16"/>
        <item x="13"/>
        <item x="14"/>
        <item t="default"/>
      </items>
    </pivotField>
    <pivotField showAll="0">
      <items count="9">
        <item x="0"/>
        <item h="1" x="1"/>
        <item h="1" x="2"/>
        <item h="1" x="3"/>
        <item h="1" f="1" x="6"/>
        <item h="1" m="1" x="4"/>
        <item h="1" m="1" x="5"/>
        <item h="1" m="1" x="7"/>
        <item t="default"/>
      </items>
    </pivotField>
    <pivotField showAll="0"/>
    <pivotField showAll="0"/>
    <pivotField dragToRow="0" dragToCol="0" dragToPage="0" showAll="0" defaultSubtotal="0"/>
  </pivotFields>
  <rowFields count="1">
    <field x="9"/>
  </rowFields>
  <rowItems count="8">
    <i>
      <x/>
    </i>
    <i>
      <x v="1"/>
    </i>
    <i>
      <x v="3"/>
    </i>
    <i>
      <x v="5"/>
    </i>
    <i>
      <x v="6"/>
    </i>
    <i>
      <x v="9"/>
    </i>
    <i>
      <x v="11"/>
    </i>
    <i>
      <x v="15"/>
    </i>
  </rowItems>
  <colFields count="1">
    <field x="-2"/>
  </colFields>
  <colItems count="2">
    <i>
      <x/>
    </i>
    <i i="1">
      <x v="1"/>
    </i>
  </colItems>
  <dataFields count="2">
    <dataField name="Sum of Actual" fld="7" baseField="4" baseItem="0" numFmtId="168"/>
    <dataField name="Sum of Budget" fld="8" baseField="0" baseItem="0" numFmtId="168"/>
  </dataFields>
  <chartFormats count="2">
    <chartFormat chart="9" format="23" series="1">
      <pivotArea type="data" outline="0" fieldPosition="0">
        <references count="1">
          <reference field="4294967294" count="1" selected="0">
            <x v="0"/>
          </reference>
        </references>
      </pivotArea>
    </chartFormat>
    <chartFormat chart="9" format="24" series="1">
      <pivotArea type="data" outline="0" fieldPosition="0">
        <references count="1">
          <reference field="4294967294" count="1" selected="0">
            <x v="1"/>
          </reference>
        </references>
      </pivotArea>
    </chartFormat>
  </chartFormats>
  <pivotTableStyleInfo name="PivotStyleMedium25" showRowHeaders="1" showColHeaders="1" showRowStripes="1" showColStripes="0" showLastColumn="1"/>
  <filters count="1">
    <filter fld="2" type="dateBetween" evalOrder="-1" id="1106" name="Date">
      <autoFilter ref="A1">
        <filterColumn colId="0">
          <customFilters and="1">
            <customFilter operator="greaterThanOrEqual" val="46143"/>
            <customFilter operator="lessThanOrEqual" val="461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Sub-Category">
  <location ref="V11:X49" firstHeaderRow="0" firstDataRow="1" firstDataCol="1"/>
  <pivotFields count="14">
    <pivotField showAll="0"/>
    <pivotField showAll="0" defaultSubtotal="0"/>
    <pivotField numFmtId="14" showAll="0"/>
    <pivotField showAll="0"/>
    <pivotField axis="axisRow" showAll="0" sortType="descending">
      <items count="45">
        <item x="28"/>
        <item x="14"/>
        <item m="1" x="42"/>
        <item x="27"/>
        <item x="2"/>
        <item x="19"/>
        <item x="3"/>
        <item x="29"/>
        <item x="1"/>
        <item x="26"/>
        <item x="15"/>
        <item m="1" x="41"/>
        <item x="17"/>
        <item x="4"/>
        <item x="10"/>
        <item x="24"/>
        <item x="22"/>
        <item x="0"/>
        <item m="1" x="43"/>
        <item m="1" x="40"/>
        <item x="37"/>
        <item x="8"/>
        <item x="30"/>
        <item x="16"/>
        <item x="32"/>
        <item x="25"/>
        <item x="21"/>
        <item x="20"/>
        <item x="7"/>
        <item x="18"/>
        <item x="5"/>
        <item x="11"/>
        <item x="12"/>
        <item x="6"/>
        <item x="9"/>
        <item x="23"/>
        <item x="31"/>
        <item m="1" x="38"/>
        <item x="13"/>
        <item x="33"/>
        <item x="34"/>
        <item m="1" x="39"/>
        <item x="35"/>
        <item x="36"/>
        <item t="default"/>
      </items>
      <autoSortScope>
        <pivotArea dataOnly="0" outline="0" fieldPosition="0">
          <references count="1">
            <reference field="4294967294" count="1" selected="0">
              <x v="0"/>
            </reference>
          </references>
        </pivotArea>
      </autoSortScope>
    </pivotField>
    <pivotField showAll="0"/>
    <pivotField showAll="0"/>
    <pivotField dataField="1" showAll="0" defaultSubtotal="0"/>
    <pivotField dataField="1" showAll="0"/>
    <pivotField showAll="0"/>
    <pivotField showAll="0">
      <items count="9">
        <item x="0"/>
        <item x="1"/>
        <item x="2"/>
        <item x="3"/>
        <item f="1" x="6"/>
        <item m="1" x="4"/>
        <item m="1" x="5"/>
        <item m="1" x="7"/>
        <item t="default"/>
      </items>
    </pivotField>
    <pivotField showAll="0"/>
    <pivotField showAll="0">
      <items count="13">
        <item x="2"/>
        <item x="3"/>
        <item x="4"/>
        <item x="5"/>
        <item x="6"/>
        <item x="7"/>
        <item x="8"/>
        <item x="9"/>
        <item x="10"/>
        <item x="11"/>
        <item x="0"/>
        <item x="1"/>
        <item t="default"/>
      </items>
    </pivotField>
    <pivotField dragToRow="0" dragToCol="0" dragToPage="0" showAll="0" defaultSubtotal="0"/>
  </pivotFields>
  <rowFields count="1">
    <field x="4"/>
  </rowFields>
  <rowItems count="38">
    <i>
      <x v="34"/>
    </i>
    <i>
      <x v="33"/>
    </i>
    <i>
      <x v="14"/>
    </i>
    <i>
      <x v="40"/>
    </i>
    <i>
      <x v="43"/>
    </i>
    <i>
      <x v="25"/>
    </i>
    <i>
      <x v="36"/>
    </i>
    <i>
      <x v="22"/>
    </i>
    <i>
      <x v="3"/>
    </i>
    <i>
      <x v="20"/>
    </i>
    <i>
      <x v="13"/>
    </i>
    <i>
      <x v="29"/>
    </i>
    <i>
      <x v="27"/>
    </i>
    <i>
      <x v="26"/>
    </i>
    <i>
      <x v="9"/>
    </i>
    <i>
      <x v="10"/>
    </i>
    <i>
      <x v="35"/>
    </i>
    <i>
      <x v="6"/>
    </i>
    <i>
      <x/>
    </i>
    <i>
      <x v="15"/>
    </i>
    <i>
      <x v="24"/>
    </i>
    <i>
      <x v="16"/>
    </i>
    <i>
      <x v="5"/>
    </i>
    <i>
      <x v="7"/>
    </i>
    <i>
      <x v="17"/>
    </i>
    <i>
      <x v="38"/>
    </i>
    <i>
      <x v="23"/>
    </i>
    <i>
      <x v="1"/>
    </i>
    <i>
      <x v="32"/>
    </i>
    <i>
      <x v="42"/>
    </i>
    <i>
      <x v="4"/>
    </i>
    <i>
      <x v="30"/>
    </i>
    <i>
      <x v="8"/>
    </i>
    <i>
      <x v="39"/>
    </i>
    <i>
      <x v="31"/>
    </i>
    <i>
      <x v="12"/>
    </i>
    <i>
      <x v="28"/>
    </i>
    <i>
      <x v="21"/>
    </i>
  </rowItems>
  <colFields count="1">
    <field x="-2"/>
  </colFields>
  <colItems count="2">
    <i>
      <x/>
    </i>
    <i i="1">
      <x v="1"/>
    </i>
  </colItems>
  <dataFields count="2">
    <dataField name="Sum of Actual" fld="7" baseField="4" baseItem="0" numFmtId="168"/>
    <dataField name="Sum of Budget" fld="8" baseField="0" baseItem="0" numFmtId="168"/>
  </dataFields>
  <formats count="3">
    <format dxfId="10">
      <pivotArea outline="0" collapsedLevelsAreSubtotals="1" fieldPosition="0"/>
    </format>
    <format dxfId="9">
      <pivotArea outline="0" fieldPosition="0">
        <references count="1">
          <reference field="4294967294" count="1">
            <x v="0"/>
          </reference>
        </references>
      </pivotArea>
    </format>
    <format dxfId="8">
      <pivotArea outline="0" fieldPosition="0">
        <references count="1">
          <reference field="4294967294" count="1">
            <x v="1"/>
          </reference>
        </references>
      </pivotArea>
    </format>
  </formats>
  <pivotTableStyleInfo name="PivotStyleMedium2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3" autoFormatId="0" applyNumberFormats="0" applyBorderFormats="0" applyFontFormats="1" applyPatternFormats="1" applyAlignmentFormats="0" applyWidthHeightFormats="0">
  <queryTableRefresh preserveSortFilterLayout="0" nextId="14">
    <queryTableFields count="13">
      <queryTableField id="1" name="Sl. No." tableColumnId="66"/>
      <queryTableField id="2" name="Accnt. Name" tableColumnId="67"/>
      <queryTableField id="3" name="Date" tableColumnId="68"/>
      <queryTableField id="4" name="Description" tableColumnId="69"/>
      <queryTableField id="5" name="Sub-Category" tableColumnId="70"/>
      <queryTableField id="6" name="Debit" tableColumnId="71"/>
      <queryTableField id="7" name="Credit" tableColumnId="72"/>
      <queryTableField id="8" name="Actual" tableColumnId="73"/>
      <queryTableField id="9" name="Budget" tableColumnId="74"/>
      <queryTableField id="10" name="Category" tableColumnId="75"/>
      <queryTableField id="11" name="Category Type" tableColumnId="76"/>
      <queryTableField id="12" name="Year" tableColumnId="77"/>
      <queryTableField id="13" name="Month" tableColumnId="7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_Type" sourceName="Category Type">
  <pivotTables>
    <pivotTable tabId="10" name="ExpbyCategory"/>
    <pivotTable tabId="10" name="ExpActBud"/>
  </pivotTables>
  <data>
    <tabular pivotCacheId="1">
      <items count="8">
        <i x="0" s="1"/>
        <i x="1"/>
        <i x="6"/>
        <i x="2"/>
        <i x="3"/>
        <i x="5" nd="1"/>
        <i x="7"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_Type1" sourceName="Category Type">
  <pivotTables>
    <pivotTable tabId="10" name="IncActBud"/>
    <pivotTable tabId="10" name="Income"/>
  </pivotTables>
  <data>
    <tabular pivotCacheId="1">
      <items count="8">
        <i x="0"/>
        <i x="1" s="1"/>
        <i x="6"/>
        <i x="2"/>
        <i x="3"/>
        <i x="5" nd="1"/>
        <i x="7" nd="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10" name="PivotTable4"/>
  </pivotTables>
  <data>
    <tabular pivotCacheId="1">
      <items count="12">
        <i x="2" s="1"/>
        <i x="3" s="1"/>
        <i x="4" s="1"/>
        <i x="5" s="1"/>
        <i x="6" s="1"/>
        <i x="7" s="1"/>
        <i x="8" s="1"/>
        <i x="9" s="1"/>
        <i x="10" s="1"/>
        <i x="11"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Type" cache="Slicer_Category_Type" caption="Category Type" style="SlicerStyleOther1" rowHeight="234950"/>
  <slicer name="Category Type 1" cache="Slicer_Category_Type1" caption="Category Type" style="SlicerStyleOther1" rowHeight="234950"/>
  <slicer name="Month" cache="Slicer_Month" caption="Month" style="SlicerStyleOther1" rowHeight="23495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Category_Table" displayName="Category_Table" ref="B8:D47" totalsRowShown="0">
  <autoFilter ref="B8:D47"/>
  <tableColumns count="3">
    <tableColumn id="1" name="Sub-Category"/>
    <tableColumn id="2" name="Category"/>
    <tableColumn id="3" name="Category Type"/>
  </tableColumns>
  <tableStyleInfo name="TableStyleMedium11" showFirstColumn="0" showLastColumn="0" showRowStripes="1" showColumnStripes="0"/>
</table>
</file>

<file path=xl/tables/table2.xml><?xml version="1.0" encoding="utf-8"?>
<table xmlns="http://schemas.openxmlformats.org/spreadsheetml/2006/main" id="3" name="Budget" displayName="Budget" ref="B8:O86" totalsRowShown="0">
  <autoFilter ref="B8:O86"/>
  <tableColumns count="14">
    <tableColumn id="1" name="Year" dataDxfId="72"/>
    <tableColumn id="2" name="Sub-Category"/>
    <tableColumn id="3" name="JAN" dataDxfId="71"/>
    <tableColumn id="4" name="FEB" dataDxfId="70"/>
    <tableColumn id="5" name="MAR" dataDxfId="69"/>
    <tableColumn id="6" name="APR" dataDxfId="68"/>
    <tableColumn id="7" name="MAY" dataDxfId="67"/>
    <tableColumn id="8" name="JUN" dataDxfId="66"/>
    <tableColumn id="9" name="JUL" dataDxfId="65"/>
    <tableColumn id="10" name="AUG" dataDxfId="64"/>
    <tableColumn id="11" name="SEP" dataDxfId="63"/>
    <tableColumn id="12" name="OCT" dataDxfId="62"/>
    <tableColumn id="13" name="NOV" dataDxfId="61"/>
    <tableColumn id="14" name="DEC" dataDxfId="60"/>
  </tableColumns>
  <tableStyleInfo name="TableStyleMedium11" showFirstColumn="0" showLastColumn="0" showRowStripes="1" showColumnStripes="0"/>
</table>
</file>

<file path=xl/tables/table3.xml><?xml version="1.0" encoding="utf-8"?>
<table xmlns="http://schemas.openxmlformats.org/spreadsheetml/2006/main" id="2" name="Statement" displayName="Statement" ref="B8:I764" totalsRowShown="0" headerRowDxfId="59">
  <autoFilter ref="B8:I764"/>
  <sortState ref="B9:I764">
    <sortCondition ref="D8:D764"/>
  </sortState>
  <tableColumns count="8">
    <tableColumn id="1" name="Sl. No."/>
    <tableColumn id="2" name="Accnt. Name" dataDxfId="58"/>
    <tableColumn id="3" name="Date" dataDxfId="57"/>
    <tableColumn id="4" name="Description"/>
    <tableColumn id="5" name="Sub-Category"/>
    <tableColumn id="14" name="Debit" dataDxfId="56"/>
    <tableColumn id="13" name="Credit" dataDxfId="55"/>
    <tableColumn id="6" name="Remarks"/>
  </tableColumns>
  <tableStyleInfo name="TableStyleMedium11" showFirstColumn="0" showLastColumn="0" showRowStripes="1" showColumnStripes="0"/>
</table>
</file>

<file path=xl/tables/table4.xml><?xml version="1.0" encoding="utf-8"?>
<table xmlns="http://schemas.openxmlformats.org/spreadsheetml/2006/main" id="5" name="Lends" displayName="Lends" ref="B9:J14" headerRowDxfId="54" dataDxfId="53">
  <autoFilter ref="B9:J14"/>
  <tableColumns count="9">
    <tableColumn id="1" name="S#" totalsRowLabel="Total" dataDxfId="52" totalsRowDxfId="51"/>
    <tableColumn id="2" name="Account" dataDxfId="50" totalsRowDxfId="49"/>
    <tableColumn id="3" name="Date" dataDxfId="48" totalsRowDxfId="47"/>
    <tableColumn id="4" name="Person / Description" dataDxfId="46" totalsRowDxfId="45"/>
    <tableColumn id="5" name="Category Tag" dataDxfId="44" totalsRowDxfId="43"/>
    <tableColumn id="6" name="Amount Lent (₹)" dataDxfId="42" totalsRowDxfId="41"/>
    <tableColumn id="7" name="Amount Received Back (₹)" dataDxfId="40" totalsRowDxfId="39"/>
    <tableColumn id="8" name="Balance Outstanding (₹)" dataDxfId="38" totalsRowDxfId="37">
      <calculatedColumnFormula>G10-H10</calculatedColumnFormula>
    </tableColumn>
    <tableColumn id="9" name="Remarks" totalsRowFunction="count" dataDxfId="36" totalsRowDxfId="35"/>
  </tableColumns>
  <tableStyleInfo name="TableStyleMedium11" showFirstColumn="0" showLastColumn="0" showRowStripes="1" showColumnStripes="0"/>
</table>
</file>

<file path=xl/tables/table5.xml><?xml version="1.0" encoding="utf-8"?>
<table xmlns="http://schemas.openxmlformats.org/spreadsheetml/2006/main" id="14" name="Borrows" displayName="Borrows" ref="B19:J23" totalsRowShown="0" headerRowDxfId="34" dataDxfId="33">
  <autoFilter ref="B19:J23"/>
  <tableColumns count="9">
    <tableColumn id="1" name="S#" dataDxfId="32"/>
    <tableColumn id="2" name="Account" dataDxfId="31"/>
    <tableColumn id="3" name="Date" dataDxfId="30"/>
    <tableColumn id="4" name="Person / Description" dataDxfId="29"/>
    <tableColumn id="5" name="Category Tag" dataDxfId="28"/>
    <tableColumn id="6" name="Amount Borrowed (₹)" dataDxfId="27"/>
    <tableColumn id="7" name="Amount Repaid (₹)" dataDxfId="26"/>
    <tableColumn id="8" name="Balance Pending (₹)" dataDxfId="25">
      <calculatedColumnFormula>G20-H20</calculatedColumnFormula>
    </tableColumn>
    <tableColumn id="9" name="Remarks" dataDxfId="24"/>
  </tableColumns>
  <tableStyleInfo name="TableStyleMedium11" showFirstColumn="0" showLastColumn="0" showRowStripes="1" showColumnStripes="0"/>
</table>
</file>

<file path=xl/tables/table6.xml><?xml version="1.0" encoding="utf-8"?>
<table xmlns="http://schemas.openxmlformats.org/spreadsheetml/2006/main" id="4" name="QueryTable" displayName="QueryTable" ref="B8:N945" tableType="queryTable" totalsRowShown="0">
  <autoFilter ref="B8:N945"/>
  <sortState ref="B9:N646">
    <sortCondition ref="B8:B646"/>
  </sortState>
  <tableColumns count="13">
    <tableColumn id="66" uniqueName="66" name="Sl. No." queryTableFieldId="1" dataDxfId="23"/>
    <tableColumn id="67" uniqueName="67" name="Accnt. Name" queryTableFieldId="2" dataDxfId="22"/>
    <tableColumn id="68" uniqueName="68" name="Date" queryTableFieldId="3" dataDxfId="21"/>
    <tableColumn id="69" uniqueName="69" name="Description" queryTableFieldId="4" dataDxfId="20"/>
    <tableColumn id="70" uniqueName="70" name="Sub-Category" queryTableFieldId="5" dataDxfId="19"/>
    <tableColumn id="71" uniqueName="71" name="Debit" queryTableFieldId="6" dataDxfId="18"/>
    <tableColumn id="72" uniqueName="72" name="Credit" queryTableFieldId="7" dataDxfId="17"/>
    <tableColumn id="73" uniqueName="73" name="Actual" queryTableFieldId="8" dataDxfId="16"/>
    <tableColumn id="74" uniqueName="74" name="Budget" queryTableFieldId="9" dataDxfId="15"/>
    <tableColumn id="75" uniqueName="75" name="Category" queryTableFieldId="10" dataDxfId="14"/>
    <tableColumn id="76" uniqueName="76" name="Category Type" queryTableFieldId="11" dataDxfId="13"/>
    <tableColumn id="77" uniqueName="77" name="Year" queryTableFieldId="12" dataDxfId="12"/>
    <tableColumn id="78" uniqueName="78" name="Month" queryTableFieldId="13" dataDxfId="11"/>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12" name="ProfitLoss"/>
    <pivotTable tabId="10" name="ExpbyCategory"/>
    <pivotTable tabId="10" name="Income"/>
  </pivotTables>
  <state minimalRefreshVersion="6" lastRefreshVersion="6" pivotCacheId="1" filterType="dateBetween">
    <selection startDate="2026-05-01T00:00:00" endDate="2026-05-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2" selectionLevel="2" scrollPosition="2025-09-11T00:00:00" style="TimeSlicerStyleDark3"/>
</timeline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table" Target="../tables/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8.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pivotTable" Target="../pivotTables/pivotTable4.xml"/><Relationship Id="rId7" Type="http://schemas.openxmlformats.org/officeDocument/2006/relationships/drawing" Target="../drawings/drawing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8.bin"/><Relationship Id="rId5" Type="http://schemas.openxmlformats.org/officeDocument/2006/relationships/pivotTable" Target="../pivotTables/pivotTable6.xml"/><Relationship Id="rId10" Type="http://schemas.openxmlformats.org/officeDocument/2006/relationships/comments" Target="../comments1.xml"/><Relationship Id="rId4" Type="http://schemas.openxmlformats.org/officeDocument/2006/relationships/pivotTable" Target="../pivotTables/pivotTable5.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D47"/>
  <sheetViews>
    <sheetView showGridLines="0" topLeftCell="A8" zoomScaleNormal="100" workbookViewId="0">
      <selection activeCell="D35" sqref="D35"/>
    </sheetView>
  </sheetViews>
  <sheetFormatPr defaultRowHeight="15" x14ac:dyDescent="0.25"/>
  <cols>
    <col min="1" max="1" width="1.28515625" customWidth="1"/>
    <col min="2" max="4" width="20.85546875" customWidth="1"/>
  </cols>
  <sheetData>
    <row r="1" spans="2:4" s="1" customFormat="1" x14ac:dyDescent="0.25"/>
    <row r="2" spans="2:4" s="1" customFormat="1" x14ac:dyDescent="0.25"/>
    <row r="3" spans="2:4" s="1" customFormat="1" x14ac:dyDescent="0.25"/>
    <row r="4" spans="2:4" s="1" customFormat="1" x14ac:dyDescent="0.25"/>
    <row r="5" spans="2:4" s="1" customFormat="1" x14ac:dyDescent="0.25"/>
    <row r="6" spans="2:4" s="1" customFormat="1" x14ac:dyDescent="0.25"/>
    <row r="8" spans="2:4" ht="18" customHeight="1" x14ac:dyDescent="0.25">
      <c r="B8" t="s">
        <v>0</v>
      </c>
      <c r="C8" t="s">
        <v>1</v>
      </c>
      <c r="D8" t="s">
        <v>2</v>
      </c>
    </row>
    <row r="9" spans="2:4" ht="18" customHeight="1" x14ac:dyDescent="0.25">
      <c r="B9" t="s">
        <v>3</v>
      </c>
      <c r="C9" t="s">
        <v>4</v>
      </c>
      <c r="D9" t="s">
        <v>5</v>
      </c>
    </row>
    <row r="10" spans="2:4" ht="18" customHeight="1" x14ac:dyDescent="0.25">
      <c r="B10" t="s">
        <v>6</v>
      </c>
      <c r="C10" t="s">
        <v>4</v>
      </c>
      <c r="D10" t="s">
        <v>5</v>
      </c>
    </row>
    <row r="11" spans="2:4" ht="18" customHeight="1" x14ac:dyDescent="0.25">
      <c r="B11" t="s">
        <v>81</v>
      </c>
      <c r="C11" t="s">
        <v>4</v>
      </c>
      <c r="D11" t="s">
        <v>5</v>
      </c>
    </row>
    <row r="12" spans="2:4" ht="18" customHeight="1" x14ac:dyDescent="0.25">
      <c r="B12" t="s">
        <v>7</v>
      </c>
      <c r="C12" t="s">
        <v>4</v>
      </c>
      <c r="D12" t="s">
        <v>5</v>
      </c>
    </row>
    <row r="13" spans="2:4" ht="18" customHeight="1" x14ac:dyDescent="0.25">
      <c r="B13" t="s">
        <v>8</v>
      </c>
      <c r="C13" t="s">
        <v>9</v>
      </c>
      <c r="D13" t="s">
        <v>5</v>
      </c>
    </row>
    <row r="14" spans="2:4" ht="18" customHeight="1" x14ac:dyDescent="0.25">
      <c r="B14" t="s">
        <v>10</v>
      </c>
      <c r="C14" t="s">
        <v>9</v>
      </c>
      <c r="D14" t="s">
        <v>5</v>
      </c>
    </row>
    <row r="15" spans="2:4" ht="18" customHeight="1" x14ac:dyDescent="0.25">
      <c r="B15" t="s">
        <v>11</v>
      </c>
      <c r="C15" t="s">
        <v>9</v>
      </c>
      <c r="D15" t="s">
        <v>5</v>
      </c>
    </row>
    <row r="16" spans="2:4" ht="18" customHeight="1" x14ac:dyDescent="0.25">
      <c r="B16" t="s">
        <v>12</v>
      </c>
      <c r="C16" t="s">
        <v>13</v>
      </c>
      <c r="D16" t="s">
        <v>5</v>
      </c>
    </row>
    <row r="17" spans="2:4" ht="18" customHeight="1" x14ac:dyDescent="0.25">
      <c r="B17" t="s">
        <v>14</v>
      </c>
      <c r="C17" t="s">
        <v>13</v>
      </c>
      <c r="D17" t="s">
        <v>5</v>
      </c>
    </row>
    <row r="18" spans="2:4" ht="18" customHeight="1" x14ac:dyDescent="0.25">
      <c r="B18" t="s">
        <v>15</v>
      </c>
      <c r="C18" t="s">
        <v>16</v>
      </c>
      <c r="D18" t="s">
        <v>5</v>
      </c>
    </row>
    <row r="19" spans="2:4" ht="18" customHeight="1" x14ac:dyDescent="0.25">
      <c r="B19" t="s">
        <v>17</v>
      </c>
      <c r="C19" t="s">
        <v>16</v>
      </c>
      <c r="D19" t="s">
        <v>5</v>
      </c>
    </row>
    <row r="20" spans="2:4" ht="18" customHeight="1" x14ac:dyDescent="0.25">
      <c r="B20" t="s">
        <v>18</v>
      </c>
      <c r="C20" t="s">
        <v>19</v>
      </c>
      <c r="D20" t="s">
        <v>5</v>
      </c>
    </row>
    <row r="21" spans="2:4" ht="18" customHeight="1" x14ac:dyDescent="0.25">
      <c r="B21" t="s">
        <v>20</v>
      </c>
      <c r="C21" t="s">
        <v>19</v>
      </c>
      <c r="D21" t="s">
        <v>5</v>
      </c>
    </row>
    <row r="22" spans="2:4" ht="18" customHeight="1" x14ac:dyDescent="0.25">
      <c r="B22" t="s">
        <v>218</v>
      </c>
      <c r="C22" t="s">
        <v>19</v>
      </c>
      <c r="D22" t="s">
        <v>5</v>
      </c>
    </row>
    <row r="23" spans="2:4" ht="18" customHeight="1" x14ac:dyDescent="0.25">
      <c r="B23" t="s">
        <v>21</v>
      </c>
      <c r="C23" t="s">
        <v>22</v>
      </c>
      <c r="D23" t="s">
        <v>5</v>
      </c>
    </row>
    <row r="24" spans="2:4" ht="18" customHeight="1" x14ac:dyDescent="0.25">
      <c r="B24" t="s">
        <v>23</v>
      </c>
      <c r="C24" t="s">
        <v>22</v>
      </c>
      <c r="D24" t="s">
        <v>5</v>
      </c>
    </row>
    <row r="25" spans="2:4" ht="18" customHeight="1" x14ac:dyDescent="0.25">
      <c r="B25" t="s">
        <v>24</v>
      </c>
      <c r="C25" t="s">
        <v>22</v>
      </c>
      <c r="D25" t="s">
        <v>5</v>
      </c>
    </row>
    <row r="26" spans="2:4" ht="18" customHeight="1" x14ac:dyDescent="0.25">
      <c r="B26" t="s">
        <v>25</v>
      </c>
      <c r="C26" t="s">
        <v>22</v>
      </c>
      <c r="D26" t="s">
        <v>5</v>
      </c>
    </row>
    <row r="27" spans="2:4" ht="18" customHeight="1" x14ac:dyDescent="0.25">
      <c r="B27" t="s">
        <v>26</v>
      </c>
      <c r="C27" t="s">
        <v>22</v>
      </c>
      <c r="D27" t="s">
        <v>5</v>
      </c>
    </row>
    <row r="28" spans="2:4" ht="18" customHeight="1" x14ac:dyDescent="0.25">
      <c r="B28" t="s">
        <v>27</v>
      </c>
      <c r="C28" t="s">
        <v>28</v>
      </c>
      <c r="D28" t="s">
        <v>5</v>
      </c>
    </row>
    <row r="29" spans="2:4" ht="18" customHeight="1" x14ac:dyDescent="0.25">
      <c r="B29" t="s">
        <v>29</v>
      </c>
      <c r="C29" t="s">
        <v>28</v>
      </c>
      <c r="D29" t="s">
        <v>5</v>
      </c>
    </row>
    <row r="30" spans="2:4" ht="18" customHeight="1" x14ac:dyDescent="0.25">
      <c r="B30" t="s">
        <v>30</v>
      </c>
      <c r="C30" t="s">
        <v>28</v>
      </c>
      <c r="D30" t="s">
        <v>5</v>
      </c>
    </row>
    <row r="31" spans="2:4" ht="18" customHeight="1" x14ac:dyDescent="0.25">
      <c r="B31" t="s">
        <v>31</v>
      </c>
      <c r="C31" t="s">
        <v>28</v>
      </c>
      <c r="D31" t="s">
        <v>5</v>
      </c>
    </row>
    <row r="32" spans="2:4" ht="18" customHeight="1" x14ac:dyDescent="0.25">
      <c r="B32" t="s">
        <v>32</v>
      </c>
      <c r="C32" t="s">
        <v>28</v>
      </c>
      <c r="D32" t="s">
        <v>5</v>
      </c>
    </row>
    <row r="33" spans="2:4" ht="18" customHeight="1" x14ac:dyDescent="0.25">
      <c r="B33" t="s">
        <v>83</v>
      </c>
      <c r="C33" t="s">
        <v>38</v>
      </c>
      <c r="D33" t="s">
        <v>5</v>
      </c>
    </row>
    <row r="34" spans="2:4" ht="18" customHeight="1" x14ac:dyDescent="0.25">
      <c r="B34" t="s">
        <v>84</v>
      </c>
      <c r="C34" t="s">
        <v>38</v>
      </c>
      <c r="D34" t="s">
        <v>5</v>
      </c>
    </row>
    <row r="35" spans="2:4" ht="18" customHeight="1" x14ac:dyDescent="0.25">
      <c r="B35" t="s">
        <v>37</v>
      </c>
      <c r="C35" t="s">
        <v>38</v>
      </c>
      <c r="D35" t="s">
        <v>5</v>
      </c>
    </row>
    <row r="36" spans="2:4" ht="18" customHeight="1" x14ac:dyDescent="0.25">
      <c r="B36" t="s">
        <v>39</v>
      </c>
      <c r="C36" t="s">
        <v>38</v>
      </c>
      <c r="D36" t="s">
        <v>5</v>
      </c>
    </row>
    <row r="37" spans="2:4" ht="18" customHeight="1" x14ac:dyDescent="0.25">
      <c r="B37" t="s">
        <v>40</v>
      </c>
      <c r="C37" t="s">
        <v>41</v>
      </c>
      <c r="D37" t="s">
        <v>5</v>
      </c>
    </row>
    <row r="38" spans="2:4" ht="18" customHeight="1" x14ac:dyDescent="0.25">
      <c r="B38" t="s">
        <v>33</v>
      </c>
      <c r="C38" t="s">
        <v>34</v>
      </c>
      <c r="D38" t="s">
        <v>35</v>
      </c>
    </row>
    <row r="39" spans="2:4" ht="18" customHeight="1" x14ac:dyDescent="0.25">
      <c r="B39" t="s">
        <v>36</v>
      </c>
      <c r="C39" t="s">
        <v>34</v>
      </c>
      <c r="D39" t="s">
        <v>35</v>
      </c>
    </row>
    <row r="40" spans="2:4" ht="18" customHeight="1" x14ac:dyDescent="0.25">
      <c r="B40" t="s">
        <v>85</v>
      </c>
      <c r="C40" t="s">
        <v>43</v>
      </c>
      <c r="D40" t="s">
        <v>44</v>
      </c>
    </row>
    <row r="41" spans="2:4" ht="18" customHeight="1" x14ac:dyDescent="0.25">
      <c r="B41" t="s">
        <v>86</v>
      </c>
      <c r="C41" t="s">
        <v>43</v>
      </c>
      <c r="D41" t="s">
        <v>44</v>
      </c>
    </row>
    <row r="42" spans="2:4" x14ac:dyDescent="0.25">
      <c r="B42" t="s">
        <v>45</v>
      </c>
      <c r="C42" t="s">
        <v>46</v>
      </c>
      <c r="D42" t="s">
        <v>44</v>
      </c>
    </row>
    <row r="43" spans="2:4" x14ac:dyDescent="0.25">
      <c r="B43" t="s">
        <v>411</v>
      </c>
      <c r="C43" t="s">
        <v>412</v>
      </c>
      <c r="D43" t="s">
        <v>44</v>
      </c>
    </row>
    <row r="44" spans="2:4" x14ac:dyDescent="0.25">
      <c r="B44" t="s">
        <v>409</v>
      </c>
      <c r="C44" t="s">
        <v>418</v>
      </c>
      <c r="D44" t="s">
        <v>5</v>
      </c>
    </row>
    <row r="45" spans="2:4" x14ac:dyDescent="0.25">
      <c r="B45" t="s">
        <v>419</v>
      </c>
      <c r="C45" t="s">
        <v>417</v>
      </c>
      <c r="D45" t="s">
        <v>44</v>
      </c>
    </row>
    <row r="46" spans="2:4" x14ac:dyDescent="0.25">
      <c r="B46" t="s">
        <v>410</v>
      </c>
      <c r="C46" t="s">
        <v>417</v>
      </c>
      <c r="D46" t="s">
        <v>44</v>
      </c>
    </row>
    <row r="47" spans="2:4" x14ac:dyDescent="0.25">
      <c r="B47" t="s">
        <v>408</v>
      </c>
      <c r="C47" t="s">
        <v>418</v>
      </c>
      <c r="D47" t="s">
        <v>5</v>
      </c>
    </row>
  </sheetData>
  <pageMargins left="0.75" right="0.75" top="1" bottom="1" header="0.5" footer="0.5"/>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1:R86"/>
  <sheetViews>
    <sheetView showGridLines="0" zoomScale="115" zoomScaleNormal="115" workbookViewId="0">
      <pane xSplit="1" ySplit="8" topLeftCell="B68" activePane="bottomRight" state="frozen"/>
      <selection pane="topRight" activeCell="B1" sqref="B1"/>
      <selection pane="bottomLeft" activeCell="A9" sqref="A9"/>
      <selection pane="bottomRight" activeCell="I84" sqref="I84"/>
    </sheetView>
  </sheetViews>
  <sheetFormatPr defaultRowHeight="15" x14ac:dyDescent="0.25"/>
  <cols>
    <col min="1" max="1" width="1.140625" customWidth="1"/>
    <col min="2" max="2" width="9.42578125" style="5" customWidth="1"/>
    <col min="3" max="3" width="22.7109375" customWidth="1"/>
    <col min="4" max="15" width="10.7109375" customWidth="1"/>
  </cols>
  <sheetData>
    <row r="1" spans="2:15" s="1" customFormat="1" x14ac:dyDescent="0.25">
      <c r="B1" s="4"/>
    </row>
    <row r="2" spans="2:15" s="1" customFormat="1" x14ac:dyDescent="0.25">
      <c r="B2" s="4"/>
    </row>
    <row r="3" spans="2:15" s="1" customFormat="1" x14ac:dyDescent="0.25">
      <c r="B3" s="4"/>
    </row>
    <row r="4" spans="2:15" s="1" customFormat="1" x14ac:dyDescent="0.25">
      <c r="B4" s="4"/>
    </row>
    <row r="5" spans="2:15" s="1" customFormat="1" x14ac:dyDescent="0.25">
      <c r="B5" s="4"/>
    </row>
    <row r="6" spans="2:15" s="1" customFormat="1" x14ac:dyDescent="0.25">
      <c r="B6" s="4"/>
    </row>
    <row r="7" spans="2:15" ht="3.75" customHeight="1" x14ac:dyDescent="0.25"/>
    <row r="8" spans="2:15" ht="18" customHeight="1" x14ac:dyDescent="0.25">
      <c r="B8" s="6" t="s">
        <v>49</v>
      </c>
      <c r="C8" t="s">
        <v>0</v>
      </c>
      <c r="D8" t="s">
        <v>50</v>
      </c>
      <c r="E8" t="s">
        <v>51</v>
      </c>
      <c r="F8" t="s">
        <v>52</v>
      </c>
      <c r="G8" t="s">
        <v>53</v>
      </c>
      <c r="H8" t="s">
        <v>54</v>
      </c>
      <c r="I8" t="s">
        <v>55</v>
      </c>
      <c r="J8" t="s">
        <v>56</v>
      </c>
      <c r="K8" t="s">
        <v>57</v>
      </c>
      <c r="L8" t="s">
        <v>58</v>
      </c>
      <c r="M8" t="s">
        <v>59</v>
      </c>
      <c r="N8" t="s">
        <v>60</v>
      </c>
      <c r="O8" t="s">
        <v>61</v>
      </c>
    </row>
    <row r="9" spans="2:15" ht="18" customHeight="1" x14ac:dyDescent="0.25">
      <c r="B9" s="5">
        <v>2025</v>
      </c>
      <c r="C9" t="s">
        <v>3</v>
      </c>
      <c r="D9" s="7"/>
      <c r="E9" s="7"/>
      <c r="F9" s="7"/>
      <c r="G9" s="7"/>
      <c r="H9" s="7"/>
      <c r="I9" s="7"/>
      <c r="J9" s="7"/>
      <c r="K9" s="7"/>
      <c r="L9" s="7"/>
      <c r="M9" s="7"/>
      <c r="N9" s="7">
        <v>-15500</v>
      </c>
      <c r="O9" s="7">
        <v>-15500</v>
      </c>
    </row>
    <row r="10" spans="2:15" ht="18" customHeight="1" x14ac:dyDescent="0.25">
      <c r="B10" s="5">
        <v>2025</v>
      </c>
      <c r="C10" t="s">
        <v>6</v>
      </c>
      <c r="D10" s="7"/>
      <c r="E10" s="7"/>
      <c r="F10" s="7"/>
      <c r="G10" s="7"/>
      <c r="H10" s="7"/>
      <c r="I10" s="7"/>
      <c r="J10" s="7"/>
      <c r="K10" s="7"/>
      <c r="L10" s="7"/>
      <c r="M10" s="7"/>
      <c r="N10" s="7">
        <v>-609</v>
      </c>
      <c r="O10" s="7">
        <v>-800</v>
      </c>
    </row>
    <row r="11" spans="2:15" ht="18" customHeight="1" x14ac:dyDescent="0.25">
      <c r="B11" s="5">
        <v>2025</v>
      </c>
      <c r="C11" t="s">
        <v>81</v>
      </c>
      <c r="D11" s="7"/>
      <c r="E11" s="7"/>
      <c r="F11" s="7"/>
      <c r="G11" s="7"/>
      <c r="H11" s="7"/>
      <c r="I11" s="7"/>
      <c r="J11" s="7"/>
      <c r="K11" s="7"/>
      <c r="L11" s="7"/>
      <c r="M11" s="7"/>
      <c r="N11" s="7">
        <v>-250</v>
      </c>
      <c r="O11" s="7">
        <v>-250</v>
      </c>
    </row>
    <row r="12" spans="2:15" ht="18" customHeight="1" x14ac:dyDescent="0.25">
      <c r="B12" s="5">
        <v>2025</v>
      </c>
      <c r="C12" t="s">
        <v>7</v>
      </c>
      <c r="D12" s="7"/>
      <c r="E12" s="7"/>
      <c r="F12" s="7"/>
      <c r="G12" s="7"/>
      <c r="H12" s="7"/>
      <c r="I12" s="7"/>
      <c r="J12" s="7"/>
      <c r="K12" s="7"/>
      <c r="L12" s="7"/>
      <c r="M12" s="7"/>
      <c r="N12" s="7">
        <v>-2000</v>
      </c>
      <c r="O12" s="7">
        <f>-2000-5635</f>
        <v>-7635</v>
      </c>
    </row>
    <row r="13" spans="2:15" ht="18" customHeight="1" x14ac:dyDescent="0.25">
      <c r="B13" s="5">
        <v>2025</v>
      </c>
      <c r="C13" t="s">
        <v>8</v>
      </c>
      <c r="D13" s="7"/>
      <c r="E13" s="7"/>
      <c r="F13" s="7"/>
      <c r="G13" s="7"/>
      <c r="H13" s="7"/>
      <c r="I13" s="7"/>
      <c r="J13" s="7"/>
      <c r="K13" s="7"/>
      <c r="L13" s="7"/>
      <c r="M13" s="7"/>
      <c r="N13" s="7">
        <v>-1200</v>
      </c>
      <c r="O13" s="7">
        <v>-1200</v>
      </c>
    </row>
    <row r="14" spans="2:15" ht="18" customHeight="1" x14ac:dyDescent="0.25">
      <c r="B14" s="5">
        <v>2025</v>
      </c>
      <c r="C14" t="s">
        <v>10</v>
      </c>
      <c r="D14" s="7"/>
      <c r="E14" s="7"/>
      <c r="F14" s="7"/>
      <c r="G14" s="7"/>
      <c r="H14" s="7"/>
      <c r="I14" s="7"/>
      <c r="J14" s="7"/>
      <c r="K14" s="7"/>
      <c r="L14" s="7"/>
      <c r="M14" s="7"/>
      <c r="N14" s="7">
        <v>-3500</v>
      </c>
      <c r="O14" s="7">
        <v>-2860</v>
      </c>
    </row>
    <row r="15" spans="2:15" ht="18" customHeight="1" x14ac:dyDescent="0.25">
      <c r="B15" s="5">
        <v>2025</v>
      </c>
      <c r="C15" t="s">
        <v>11</v>
      </c>
      <c r="D15" s="7"/>
      <c r="E15" s="7"/>
      <c r="F15" s="7"/>
      <c r="G15" s="7"/>
      <c r="H15" s="7"/>
      <c r="I15" s="7"/>
      <c r="J15" s="7"/>
      <c r="K15" s="7"/>
      <c r="L15" s="7"/>
      <c r="M15" s="7"/>
      <c r="N15" s="7">
        <f>-5100-2700</f>
        <v>-7800</v>
      </c>
      <c r="O15" s="7"/>
    </row>
    <row r="16" spans="2:15" ht="18" customHeight="1" x14ac:dyDescent="0.25">
      <c r="B16" s="5">
        <v>2025</v>
      </c>
      <c r="C16" t="s">
        <v>12</v>
      </c>
      <c r="D16" s="7"/>
      <c r="E16" s="7"/>
      <c r="F16" s="7"/>
      <c r="G16" s="7"/>
      <c r="H16" s="7"/>
      <c r="I16" s="7"/>
      <c r="J16" s="7"/>
      <c r="K16" s="7"/>
      <c r="L16" s="7"/>
      <c r="M16" s="7"/>
      <c r="N16" s="7"/>
      <c r="O16" s="7"/>
    </row>
    <row r="17" spans="2:15" ht="18" customHeight="1" x14ac:dyDescent="0.25">
      <c r="B17" s="5">
        <v>2025</v>
      </c>
      <c r="C17" t="s">
        <v>14</v>
      </c>
      <c r="D17" s="7"/>
      <c r="E17" s="7"/>
      <c r="F17" s="7"/>
      <c r="G17" s="7"/>
      <c r="H17" s="7"/>
      <c r="I17" s="7"/>
      <c r="J17" s="7"/>
      <c r="K17" s="7"/>
      <c r="L17" s="7"/>
      <c r="M17" s="7"/>
      <c r="N17" s="7"/>
      <c r="O17" s="7"/>
    </row>
    <row r="18" spans="2:15" ht="18" customHeight="1" x14ac:dyDescent="0.25">
      <c r="B18" s="5">
        <v>2025</v>
      </c>
      <c r="C18" t="s">
        <v>15</v>
      </c>
      <c r="D18" s="7"/>
      <c r="E18" s="7"/>
      <c r="F18" s="7"/>
      <c r="G18" s="7"/>
      <c r="H18" s="7"/>
      <c r="I18" s="7"/>
      <c r="J18" s="7"/>
      <c r="K18" s="7"/>
      <c r="L18" s="7"/>
      <c r="M18" s="7"/>
      <c r="N18" s="7"/>
      <c r="O18" s="7"/>
    </row>
    <row r="19" spans="2:15" ht="18" customHeight="1" x14ac:dyDescent="0.25">
      <c r="B19" s="5">
        <v>2025</v>
      </c>
      <c r="C19" t="s">
        <v>17</v>
      </c>
      <c r="D19" s="7"/>
      <c r="E19" s="7"/>
      <c r="F19" s="7"/>
      <c r="G19" s="7"/>
      <c r="H19" s="7"/>
      <c r="I19" s="7"/>
      <c r="J19" s="7"/>
      <c r="K19" s="7"/>
      <c r="L19" s="7"/>
      <c r="M19" s="7"/>
      <c r="N19" s="7"/>
      <c r="O19" s="7"/>
    </row>
    <row r="20" spans="2:15" ht="18" customHeight="1" x14ac:dyDescent="0.25">
      <c r="B20" s="5">
        <v>2025</v>
      </c>
      <c r="C20" t="s">
        <v>18</v>
      </c>
      <c r="D20" s="7"/>
      <c r="E20" s="7"/>
      <c r="F20" s="7"/>
      <c r="G20" s="7"/>
      <c r="H20" s="7"/>
      <c r="I20" s="7"/>
      <c r="J20" s="7"/>
      <c r="K20" s="7"/>
      <c r="L20" s="7"/>
      <c r="M20" s="7"/>
      <c r="N20" s="7">
        <v>-149</v>
      </c>
      <c r="O20" s="7">
        <v>-149</v>
      </c>
    </row>
    <row r="21" spans="2:15" ht="18" customHeight="1" x14ac:dyDescent="0.25">
      <c r="B21" s="5">
        <v>2025</v>
      </c>
      <c r="C21" t="s">
        <v>20</v>
      </c>
      <c r="D21" s="7"/>
      <c r="E21" s="7"/>
      <c r="F21" s="7"/>
      <c r="G21" s="7"/>
      <c r="H21" s="7"/>
      <c r="I21" s="7"/>
      <c r="J21" s="7"/>
      <c r="K21" s="7"/>
      <c r="L21" s="7"/>
      <c r="M21" s="7"/>
      <c r="N21" s="7">
        <v>-589</v>
      </c>
      <c r="O21" s="7">
        <v>-589</v>
      </c>
    </row>
    <row r="22" spans="2:15" ht="18" customHeight="1" x14ac:dyDescent="0.25">
      <c r="B22" s="5">
        <v>2025</v>
      </c>
      <c r="C22" t="s">
        <v>218</v>
      </c>
      <c r="D22" s="7"/>
      <c r="E22" s="7"/>
      <c r="F22" s="7"/>
      <c r="G22" s="7"/>
      <c r="H22" s="7"/>
      <c r="I22" s="7"/>
      <c r="J22" s="7"/>
      <c r="K22" s="7"/>
      <c r="L22" s="7"/>
      <c r="M22" s="7"/>
      <c r="N22" s="7">
        <v>-1300</v>
      </c>
      <c r="O22" s="7">
        <f>-1029-300-300-300</f>
        <v>-1929</v>
      </c>
    </row>
    <row r="23" spans="2:15" ht="18" customHeight="1" x14ac:dyDescent="0.25">
      <c r="B23" s="5">
        <v>2025</v>
      </c>
      <c r="C23" t="s">
        <v>21</v>
      </c>
      <c r="D23" s="7"/>
      <c r="E23" s="7"/>
      <c r="F23" s="7"/>
      <c r="G23" s="7"/>
      <c r="H23" s="7"/>
      <c r="I23" s="7"/>
      <c r="J23" s="7"/>
      <c r="K23" s="7"/>
      <c r="L23" s="7"/>
      <c r="M23" s="7"/>
      <c r="N23" s="7">
        <v>-5000</v>
      </c>
      <c r="O23" s="7">
        <v>-7000</v>
      </c>
    </row>
    <row r="24" spans="2:15" ht="18" customHeight="1" x14ac:dyDescent="0.25">
      <c r="B24" s="5">
        <v>2025</v>
      </c>
      <c r="C24" t="s">
        <v>23</v>
      </c>
      <c r="D24" s="7"/>
      <c r="E24" s="7"/>
      <c r="F24" s="7"/>
      <c r="G24" s="7"/>
      <c r="H24" s="7"/>
      <c r="I24" s="7"/>
      <c r="J24" s="7"/>
      <c r="K24" s="7"/>
      <c r="L24" s="7"/>
      <c r="M24" s="7"/>
      <c r="N24" s="7"/>
      <c r="O24" s="7"/>
    </row>
    <row r="25" spans="2:15" ht="18" customHeight="1" x14ac:dyDescent="0.25">
      <c r="B25" s="5">
        <v>2025</v>
      </c>
      <c r="C25" t="s">
        <v>24</v>
      </c>
      <c r="D25" s="7"/>
      <c r="E25" s="7"/>
      <c r="F25" s="7"/>
      <c r="G25" s="7"/>
      <c r="H25" s="7"/>
      <c r="I25" s="7"/>
      <c r="J25" s="7"/>
      <c r="K25" s="7"/>
      <c r="L25" s="7"/>
      <c r="M25" s="7"/>
      <c r="N25" s="7">
        <v>-1000</v>
      </c>
      <c r="O25" s="7"/>
    </row>
    <row r="26" spans="2:15" ht="18" customHeight="1" x14ac:dyDescent="0.25">
      <c r="B26" s="5">
        <v>2025</v>
      </c>
      <c r="C26" t="s">
        <v>25</v>
      </c>
      <c r="D26" s="7"/>
      <c r="E26" s="7"/>
      <c r="F26" s="7"/>
      <c r="G26" s="7"/>
      <c r="H26" s="7"/>
      <c r="I26" s="7"/>
      <c r="J26" s="7"/>
      <c r="K26" s="7"/>
      <c r="L26" s="7"/>
      <c r="M26" s="7"/>
      <c r="N26" s="7">
        <v>-3000</v>
      </c>
      <c r="O26" s="7">
        <v>-3000</v>
      </c>
    </row>
    <row r="27" spans="2:15" ht="18" customHeight="1" x14ac:dyDescent="0.25">
      <c r="B27" s="5">
        <v>2025</v>
      </c>
      <c r="C27" t="s">
        <v>26</v>
      </c>
      <c r="D27" s="7"/>
      <c r="E27" s="7"/>
      <c r="F27" s="7"/>
      <c r="G27" s="7"/>
      <c r="H27" s="7"/>
      <c r="I27" s="7"/>
      <c r="J27" s="7"/>
      <c r="K27" s="7"/>
      <c r="L27" s="7"/>
      <c r="M27" s="7"/>
      <c r="N27" s="7">
        <v>-300</v>
      </c>
      <c r="O27" s="7">
        <v>-300</v>
      </c>
    </row>
    <row r="28" spans="2:15" ht="18" customHeight="1" x14ac:dyDescent="0.25">
      <c r="B28" s="5">
        <v>2025</v>
      </c>
      <c r="C28" t="s">
        <v>27</v>
      </c>
      <c r="D28" s="7"/>
      <c r="E28" s="7"/>
      <c r="F28" s="7"/>
      <c r="G28" s="7"/>
      <c r="H28" s="7"/>
      <c r="I28" s="7"/>
      <c r="J28" s="7"/>
      <c r="K28" s="7"/>
      <c r="L28" s="7"/>
      <c r="M28" s="7"/>
      <c r="N28" s="7"/>
      <c r="O28" s="7"/>
    </row>
    <row r="29" spans="2:15" ht="18" customHeight="1" x14ac:dyDescent="0.25">
      <c r="B29" s="5">
        <v>2025</v>
      </c>
      <c r="C29" t="s">
        <v>29</v>
      </c>
      <c r="D29" s="7"/>
      <c r="E29" s="7"/>
      <c r="F29" s="7"/>
      <c r="G29" s="7"/>
      <c r="H29" s="7"/>
      <c r="I29" s="7"/>
      <c r="J29" s="7"/>
      <c r="K29" s="7"/>
      <c r="L29" s="7"/>
      <c r="M29" s="7"/>
      <c r="N29" s="7">
        <v>-500</v>
      </c>
      <c r="O29" s="7">
        <v>-500</v>
      </c>
    </row>
    <row r="30" spans="2:15" ht="18" customHeight="1" x14ac:dyDescent="0.25">
      <c r="B30" s="5">
        <v>2025</v>
      </c>
      <c r="C30" t="s">
        <v>30</v>
      </c>
      <c r="D30" s="7"/>
      <c r="E30" s="7"/>
      <c r="F30" s="7"/>
      <c r="G30" s="7"/>
      <c r="H30" s="7"/>
      <c r="I30" s="7"/>
      <c r="J30" s="7"/>
      <c r="K30" s="7"/>
      <c r="L30" s="7"/>
      <c r="M30" s="7"/>
      <c r="N30" s="7"/>
      <c r="O30" s="7">
        <v>-4000</v>
      </c>
    </row>
    <row r="31" spans="2:15" ht="18" customHeight="1" x14ac:dyDescent="0.25">
      <c r="B31" s="5">
        <v>2025</v>
      </c>
      <c r="C31" t="s">
        <v>31</v>
      </c>
      <c r="D31" s="7"/>
      <c r="E31" s="7"/>
      <c r="F31" s="7"/>
      <c r="G31" s="7"/>
      <c r="H31" s="7"/>
      <c r="I31" s="7"/>
      <c r="J31" s="7"/>
      <c r="K31" s="7"/>
      <c r="L31" s="7"/>
      <c r="M31" s="7"/>
      <c r="N31" s="7"/>
      <c r="O31" s="7"/>
    </row>
    <row r="32" spans="2:15" ht="18" customHeight="1" x14ac:dyDescent="0.25">
      <c r="B32" s="5">
        <v>2025</v>
      </c>
      <c r="C32" t="s">
        <v>32</v>
      </c>
      <c r="D32" s="7"/>
      <c r="E32" s="7"/>
      <c r="F32" s="7"/>
      <c r="G32" s="7"/>
      <c r="H32" s="7"/>
      <c r="I32" s="7"/>
      <c r="J32" s="7"/>
      <c r="K32" s="7"/>
      <c r="L32" s="7"/>
      <c r="M32" s="7"/>
      <c r="N32" s="7"/>
      <c r="O32" s="7"/>
    </row>
    <row r="33" spans="2:15" ht="18" customHeight="1" x14ac:dyDescent="0.25">
      <c r="B33" s="5">
        <v>2025</v>
      </c>
      <c r="C33" t="s">
        <v>83</v>
      </c>
      <c r="D33" s="7"/>
      <c r="E33" s="7"/>
      <c r="F33" s="7"/>
      <c r="G33" s="7"/>
      <c r="H33" s="7"/>
      <c r="I33" s="7"/>
      <c r="J33" s="7"/>
      <c r="K33" s="7"/>
      <c r="L33" s="7"/>
      <c r="M33" s="7"/>
      <c r="N33" s="7">
        <v>-11000</v>
      </c>
      <c r="O33" s="7">
        <v>-25000</v>
      </c>
    </row>
    <row r="34" spans="2:15" ht="18" customHeight="1" x14ac:dyDescent="0.25">
      <c r="B34" s="5">
        <v>2025</v>
      </c>
      <c r="C34" t="s">
        <v>84</v>
      </c>
      <c r="D34" s="7"/>
      <c r="E34" s="7"/>
      <c r="F34" s="7"/>
      <c r="G34" s="7"/>
      <c r="H34" s="7"/>
      <c r="I34" s="7"/>
      <c r="J34" s="7"/>
      <c r="K34" s="7"/>
      <c r="L34" s="7"/>
      <c r="M34" s="7"/>
      <c r="N34" s="7">
        <v>-5000</v>
      </c>
      <c r="O34" s="7">
        <v>-5000</v>
      </c>
    </row>
    <row r="35" spans="2:15" ht="18" customHeight="1" x14ac:dyDescent="0.25">
      <c r="B35" s="5">
        <v>2025</v>
      </c>
      <c r="C35" t="s">
        <v>37</v>
      </c>
      <c r="D35" s="7"/>
      <c r="E35" s="7"/>
      <c r="F35" s="7"/>
      <c r="G35" s="7"/>
      <c r="H35" s="7"/>
      <c r="I35" s="7"/>
      <c r="J35" s="7"/>
      <c r="K35" s="7"/>
      <c r="L35" s="7"/>
      <c r="M35" s="7"/>
      <c r="N35" s="7">
        <v>-22921</v>
      </c>
      <c r="O35" s="7">
        <v>-14540</v>
      </c>
    </row>
    <row r="36" spans="2:15" ht="18" customHeight="1" x14ac:dyDescent="0.25">
      <c r="B36" s="5">
        <v>2025</v>
      </c>
      <c r="C36" t="s">
        <v>39</v>
      </c>
      <c r="D36" s="7"/>
      <c r="E36" s="7"/>
      <c r="F36" s="7"/>
      <c r="G36" s="7"/>
      <c r="H36" s="7"/>
      <c r="I36" s="7"/>
      <c r="J36" s="7"/>
      <c r="K36" s="7"/>
      <c r="L36" s="7"/>
      <c r="M36" s="7"/>
      <c r="N36" s="7"/>
      <c r="O36" s="7">
        <v>-7000</v>
      </c>
    </row>
    <row r="37" spans="2:15" ht="18" customHeight="1" x14ac:dyDescent="0.25">
      <c r="B37" s="5">
        <v>2025</v>
      </c>
      <c r="C37" t="s">
        <v>40</v>
      </c>
      <c r="D37" s="7"/>
      <c r="E37" s="7"/>
      <c r="F37" s="7"/>
      <c r="G37" s="7"/>
      <c r="H37" s="7"/>
      <c r="I37" s="7"/>
      <c r="J37" s="7"/>
      <c r="K37" s="7"/>
      <c r="L37" s="7"/>
      <c r="M37" s="7"/>
      <c r="N37" s="7"/>
      <c r="O37" s="7"/>
    </row>
    <row r="38" spans="2:15" ht="18" customHeight="1" x14ac:dyDescent="0.25">
      <c r="B38" s="5">
        <v>2025</v>
      </c>
      <c r="C38" t="s">
        <v>33</v>
      </c>
      <c r="D38" s="7"/>
      <c r="E38" s="7"/>
      <c r="F38" s="7"/>
      <c r="G38" s="7"/>
      <c r="H38" s="7"/>
      <c r="I38" s="7"/>
      <c r="J38" s="7"/>
      <c r="K38" s="7"/>
      <c r="L38" s="7"/>
      <c r="M38" s="7"/>
      <c r="N38" s="7"/>
      <c r="O38" s="7"/>
    </row>
    <row r="39" spans="2:15" ht="18" customHeight="1" x14ac:dyDescent="0.25">
      <c r="B39" s="5">
        <v>2025</v>
      </c>
      <c r="C39" t="s">
        <v>36</v>
      </c>
      <c r="D39" s="7"/>
      <c r="E39" s="7"/>
      <c r="F39" s="7"/>
      <c r="G39" s="7"/>
      <c r="H39" s="7"/>
      <c r="I39" s="7"/>
      <c r="J39" s="7"/>
      <c r="K39" s="7"/>
      <c r="L39" s="7"/>
      <c r="M39" s="7"/>
      <c r="N39" s="7">
        <v>-63000</v>
      </c>
      <c r="O39" s="7">
        <v>-20000</v>
      </c>
    </row>
    <row r="40" spans="2:15" ht="18" customHeight="1" x14ac:dyDescent="0.25">
      <c r="B40" s="5">
        <v>2025</v>
      </c>
      <c r="C40" t="s">
        <v>85</v>
      </c>
      <c r="D40" s="7"/>
      <c r="E40" s="7"/>
      <c r="F40" s="7"/>
      <c r="G40" s="7"/>
      <c r="H40" s="7"/>
      <c r="I40" s="7"/>
      <c r="J40" s="7"/>
      <c r="K40" s="7"/>
      <c r="L40" s="7"/>
      <c r="M40" s="7"/>
      <c r="N40" s="7">
        <v>48200</v>
      </c>
      <c r="O40" s="7">
        <v>48200</v>
      </c>
    </row>
    <row r="41" spans="2:15" ht="18" customHeight="1" x14ac:dyDescent="0.25">
      <c r="B41" s="5">
        <v>2025</v>
      </c>
      <c r="C41" t="s">
        <v>86</v>
      </c>
      <c r="D41" s="7"/>
      <c r="E41" s="7"/>
      <c r="F41" s="7"/>
      <c r="G41" s="7"/>
      <c r="H41" s="7"/>
      <c r="I41" s="7"/>
      <c r="J41" s="7"/>
      <c r="K41" s="7"/>
      <c r="L41" s="7"/>
      <c r="M41" s="7"/>
      <c r="N41" s="7">
        <v>43700</v>
      </c>
      <c r="O41" s="7">
        <v>43700</v>
      </c>
    </row>
    <row r="42" spans="2:15" ht="18" customHeight="1" x14ac:dyDescent="0.25">
      <c r="B42" s="5">
        <v>2025</v>
      </c>
      <c r="C42" t="s">
        <v>45</v>
      </c>
      <c r="D42" s="7"/>
      <c r="E42" s="7"/>
      <c r="F42" s="7"/>
      <c r="G42" s="7"/>
      <c r="H42" s="7"/>
      <c r="I42" s="7"/>
      <c r="J42" s="7"/>
      <c r="K42" s="7"/>
      <c r="L42" s="7"/>
      <c r="M42" s="7"/>
      <c r="N42" s="7">
        <v>50000</v>
      </c>
      <c r="O42" s="7"/>
    </row>
    <row r="43" spans="2:15" ht="18" customHeight="1" x14ac:dyDescent="0.25">
      <c r="B43" s="5">
        <v>2025</v>
      </c>
      <c r="C43" t="s">
        <v>411</v>
      </c>
      <c r="D43" s="7"/>
      <c r="E43" s="7"/>
      <c r="F43" s="7"/>
      <c r="G43" s="7"/>
      <c r="H43" s="7"/>
      <c r="I43" s="7"/>
      <c r="J43" s="7"/>
      <c r="K43" s="7"/>
      <c r="L43" s="7"/>
      <c r="M43" s="7"/>
      <c r="N43" s="7"/>
      <c r="O43" s="7"/>
    </row>
    <row r="44" spans="2:15" ht="18" customHeight="1" x14ac:dyDescent="0.25">
      <c r="B44" s="5">
        <v>2025</v>
      </c>
      <c r="C44" t="s">
        <v>409</v>
      </c>
      <c r="D44" s="7"/>
      <c r="E44" s="7"/>
      <c r="F44" s="7"/>
      <c r="G44" s="7"/>
      <c r="H44" s="7"/>
      <c r="I44" s="7"/>
      <c r="J44" s="7"/>
      <c r="K44" s="7"/>
      <c r="L44" s="7"/>
      <c r="M44" s="7"/>
      <c r="N44" s="7"/>
      <c r="O44" s="7"/>
    </row>
    <row r="45" spans="2:15" ht="18" customHeight="1" x14ac:dyDescent="0.25">
      <c r="B45" s="5">
        <v>2025</v>
      </c>
      <c r="C45" t="s">
        <v>419</v>
      </c>
      <c r="D45" s="7"/>
      <c r="E45" s="7"/>
      <c r="F45" s="7"/>
      <c r="G45" s="7"/>
      <c r="H45" s="7"/>
      <c r="I45" s="7"/>
      <c r="J45" s="7"/>
      <c r="K45" s="7"/>
      <c r="L45" s="7"/>
      <c r="M45" s="7"/>
      <c r="N45" s="7"/>
      <c r="O45" s="7"/>
    </row>
    <row r="46" spans="2:15" ht="18" customHeight="1" x14ac:dyDescent="0.25">
      <c r="B46" s="5">
        <v>2025</v>
      </c>
      <c r="C46" t="s">
        <v>410</v>
      </c>
      <c r="D46" s="7"/>
      <c r="E46" s="7"/>
      <c r="F46" s="7"/>
      <c r="G46" s="7"/>
      <c r="H46" s="7"/>
      <c r="I46" s="7"/>
      <c r="J46" s="7"/>
      <c r="K46" s="7"/>
      <c r="L46" s="7"/>
      <c r="M46" s="7"/>
      <c r="N46" s="7"/>
      <c r="O46" s="7"/>
    </row>
    <row r="47" spans="2:15" ht="18" customHeight="1" x14ac:dyDescent="0.25">
      <c r="B47" s="5">
        <v>2025</v>
      </c>
      <c r="C47" t="s">
        <v>408</v>
      </c>
      <c r="D47" s="7"/>
      <c r="E47" s="7"/>
      <c r="F47" s="7"/>
      <c r="G47" s="7"/>
      <c r="H47" s="7"/>
      <c r="I47" s="7"/>
      <c r="J47" s="7"/>
      <c r="K47" s="7"/>
      <c r="L47" s="7"/>
      <c r="M47" s="7"/>
      <c r="N47" s="7"/>
      <c r="O47" s="7"/>
    </row>
    <row r="48" spans="2:15" ht="18" customHeight="1" x14ac:dyDescent="0.25">
      <c r="B48" s="5">
        <v>2026</v>
      </c>
      <c r="C48" t="s">
        <v>3</v>
      </c>
      <c r="D48" s="7">
        <v>-15500</v>
      </c>
      <c r="E48" s="7">
        <v>-15500</v>
      </c>
      <c r="F48" s="7">
        <v>-15500</v>
      </c>
      <c r="G48" s="7">
        <v>-15500</v>
      </c>
      <c r="H48" s="7">
        <v>-15500</v>
      </c>
      <c r="I48" s="7">
        <f>15750+500</f>
        <v>16250</v>
      </c>
      <c r="J48" s="7"/>
      <c r="K48" s="7"/>
      <c r="L48" s="7"/>
      <c r="M48" s="7"/>
      <c r="N48" s="7"/>
      <c r="O48" s="7"/>
    </row>
    <row r="49" spans="2:18" ht="18" customHeight="1" x14ac:dyDescent="0.25">
      <c r="B49" s="5">
        <v>2026</v>
      </c>
      <c r="C49" t="s">
        <v>6</v>
      </c>
      <c r="D49" s="7">
        <v>-800</v>
      </c>
      <c r="E49" s="7">
        <v>-800</v>
      </c>
      <c r="F49" s="7">
        <v>-800</v>
      </c>
      <c r="G49" s="7">
        <v>-800</v>
      </c>
      <c r="H49" s="7">
        <v>-800</v>
      </c>
      <c r="I49" s="7">
        <v>-800</v>
      </c>
      <c r="J49" s="7"/>
      <c r="K49" s="7"/>
      <c r="L49" s="7"/>
      <c r="M49" s="7"/>
      <c r="N49" s="7"/>
      <c r="O49" s="7"/>
    </row>
    <row r="50" spans="2:18" ht="18" customHeight="1" x14ac:dyDescent="0.25">
      <c r="B50" s="5">
        <v>2026</v>
      </c>
      <c r="C50" t="s">
        <v>81</v>
      </c>
      <c r="D50" s="7">
        <v>-250</v>
      </c>
      <c r="E50" s="7">
        <v>-250</v>
      </c>
      <c r="F50" s="7">
        <v>-250</v>
      </c>
      <c r="G50" s="7">
        <v>-250</v>
      </c>
      <c r="H50" s="7">
        <v>-250</v>
      </c>
      <c r="I50" s="7">
        <v>-250</v>
      </c>
      <c r="J50" s="7"/>
      <c r="K50" s="7"/>
      <c r="L50" s="7"/>
      <c r="M50" s="7"/>
      <c r="N50" s="7"/>
      <c r="O50" s="7"/>
    </row>
    <row r="51" spans="2:18" ht="18" customHeight="1" x14ac:dyDescent="0.25">
      <c r="B51" s="5">
        <v>2026</v>
      </c>
      <c r="C51" t="s">
        <v>7</v>
      </c>
      <c r="D51" s="7">
        <v>-2000</v>
      </c>
      <c r="E51" s="7">
        <v>-1500</v>
      </c>
      <c r="F51" s="7">
        <v>-1500</v>
      </c>
      <c r="G51" s="7">
        <v>-1000</v>
      </c>
      <c r="H51" s="7">
        <v>-1500</v>
      </c>
      <c r="I51" s="7">
        <v>-1000</v>
      </c>
      <c r="J51" s="7"/>
      <c r="K51" s="7"/>
      <c r="L51" s="7"/>
      <c r="M51" s="7"/>
      <c r="N51" s="7"/>
      <c r="O51" s="7"/>
    </row>
    <row r="52" spans="2:18" ht="18" customHeight="1" x14ac:dyDescent="0.25">
      <c r="B52" s="5">
        <v>2026</v>
      </c>
      <c r="C52" t="s">
        <v>8</v>
      </c>
      <c r="D52" s="7">
        <v>-1200</v>
      </c>
      <c r="E52" s="7">
        <v>-600</v>
      </c>
      <c r="F52" s="7">
        <v>-600</v>
      </c>
      <c r="G52" s="7">
        <v>-600</v>
      </c>
      <c r="H52" s="7">
        <v>-600</v>
      </c>
      <c r="I52" s="7">
        <v>-600</v>
      </c>
      <c r="J52" s="7"/>
      <c r="K52" s="7"/>
      <c r="L52" s="7"/>
      <c r="M52" s="7"/>
      <c r="N52" s="7"/>
      <c r="O52" s="7"/>
    </row>
    <row r="53" spans="2:18" ht="18" customHeight="1" x14ac:dyDescent="0.25">
      <c r="B53" s="5">
        <v>2026</v>
      </c>
      <c r="C53" t="s">
        <v>10</v>
      </c>
      <c r="D53" s="7">
        <v>-5800</v>
      </c>
      <c r="E53" s="7">
        <v>-3000</v>
      </c>
      <c r="F53" s="7">
        <v>-6000</v>
      </c>
      <c r="G53" s="7">
        <f>-500-1000-1000-1880</f>
        <v>-4380</v>
      </c>
      <c r="H53" s="7">
        <v>-10000</v>
      </c>
      <c r="I53" s="7">
        <v>-2000</v>
      </c>
      <c r="J53" s="7"/>
      <c r="K53" s="7"/>
      <c r="L53" s="7"/>
      <c r="M53" s="7"/>
      <c r="N53" s="7"/>
      <c r="O53" s="7"/>
    </row>
    <row r="54" spans="2:18" ht="18" customHeight="1" x14ac:dyDescent="0.25">
      <c r="B54" s="5">
        <v>2026</v>
      </c>
      <c r="C54" t="s">
        <v>11</v>
      </c>
      <c r="D54" s="7"/>
      <c r="E54" s="7">
        <v>-200</v>
      </c>
      <c r="F54" s="7">
        <v>-200</v>
      </c>
      <c r="G54" s="7">
        <v>-200</v>
      </c>
      <c r="H54" s="7">
        <v>-3700</v>
      </c>
      <c r="I54" s="7">
        <v>-200</v>
      </c>
      <c r="J54" s="7"/>
      <c r="K54" s="7"/>
      <c r="L54" s="7"/>
      <c r="M54" s="7"/>
      <c r="N54" s="7"/>
      <c r="O54" s="7"/>
    </row>
    <row r="55" spans="2:18" ht="18" customHeight="1" x14ac:dyDescent="0.25">
      <c r="B55" s="5">
        <v>2026</v>
      </c>
      <c r="C55" t="s">
        <v>12</v>
      </c>
      <c r="D55" s="7"/>
      <c r="E55" s="7"/>
      <c r="F55" s="7"/>
      <c r="G55" s="7"/>
      <c r="H55" s="7">
        <v>-3000</v>
      </c>
      <c r="I55" s="7">
        <v>-2000</v>
      </c>
      <c r="J55" s="7"/>
      <c r="K55" s="7"/>
      <c r="L55" s="7"/>
      <c r="M55" s="7"/>
      <c r="N55" s="7"/>
      <c r="O55" s="7"/>
      <c r="R55" s="21"/>
    </row>
    <row r="56" spans="2:18" ht="18" customHeight="1" x14ac:dyDescent="0.25">
      <c r="B56" s="5">
        <v>2026</v>
      </c>
      <c r="C56" t="s">
        <v>14</v>
      </c>
      <c r="D56" s="7"/>
      <c r="E56" s="7"/>
      <c r="F56" s="7"/>
      <c r="G56" s="7">
        <v>-329</v>
      </c>
      <c r="H56" s="7"/>
      <c r="I56" s="7"/>
      <c r="J56" s="7"/>
      <c r="K56" s="7"/>
      <c r="L56" s="7"/>
      <c r="M56" s="7"/>
      <c r="N56" s="7"/>
      <c r="O56" s="7"/>
      <c r="R56" s="21"/>
    </row>
    <row r="57" spans="2:18" ht="18" customHeight="1" x14ac:dyDescent="0.25">
      <c r="B57" s="5">
        <v>2026</v>
      </c>
      <c r="C57" t="s">
        <v>15</v>
      </c>
      <c r="D57" s="7"/>
      <c r="E57" s="7">
        <v>-500</v>
      </c>
      <c r="F57" s="7">
        <v>-1000</v>
      </c>
      <c r="G57" s="7">
        <f>-2260-500</f>
        <v>-2760</v>
      </c>
      <c r="H57" s="7"/>
      <c r="I57" s="7"/>
      <c r="J57" s="7"/>
      <c r="K57" s="7"/>
      <c r="L57" s="7"/>
      <c r="M57" s="7"/>
      <c r="N57" s="7"/>
      <c r="O57" s="7"/>
    </row>
    <row r="58" spans="2:18" ht="18" customHeight="1" x14ac:dyDescent="0.25">
      <c r="B58" s="5">
        <v>2026</v>
      </c>
      <c r="C58" t="s">
        <v>17</v>
      </c>
      <c r="D58" s="7"/>
      <c r="E58" s="7"/>
      <c r="F58" s="7"/>
      <c r="G58" s="7"/>
      <c r="H58" s="7"/>
      <c r="I58" s="7"/>
      <c r="J58" s="7"/>
      <c r="K58" s="7"/>
      <c r="L58" s="7"/>
      <c r="M58" s="7"/>
      <c r="N58" s="7"/>
      <c r="O58" s="7"/>
    </row>
    <row r="59" spans="2:18" ht="18" customHeight="1" x14ac:dyDescent="0.25">
      <c r="B59" s="5">
        <v>2026</v>
      </c>
      <c r="C59" t="s">
        <v>18</v>
      </c>
      <c r="D59" s="7">
        <v>-149</v>
      </c>
      <c r="E59" s="7">
        <v>-149</v>
      </c>
      <c r="F59" s="7">
        <v>-149</v>
      </c>
      <c r="G59" s="7">
        <v>-149</v>
      </c>
      <c r="H59" s="7">
        <v>-299</v>
      </c>
      <c r="I59" s="7">
        <v>-299</v>
      </c>
      <c r="J59" s="7"/>
      <c r="K59" s="7"/>
      <c r="L59" s="7"/>
      <c r="M59" s="7"/>
      <c r="N59" s="7"/>
      <c r="O59" s="7"/>
    </row>
    <row r="60" spans="2:18" ht="18" customHeight="1" x14ac:dyDescent="0.25">
      <c r="B60" s="5">
        <v>2026</v>
      </c>
      <c r="C60" t="s">
        <v>20</v>
      </c>
      <c r="D60" s="7"/>
      <c r="E60" s="7">
        <v>-602</v>
      </c>
      <c r="F60" s="7"/>
      <c r="G60" s="7"/>
      <c r="H60" s="7"/>
      <c r="I60" s="7"/>
      <c r="J60" s="7"/>
      <c r="K60" s="7"/>
      <c r="L60" s="7"/>
      <c r="M60" s="7"/>
      <c r="N60" s="7"/>
      <c r="O60" s="7"/>
    </row>
    <row r="61" spans="2:18" ht="18" customHeight="1" x14ac:dyDescent="0.25">
      <c r="B61" s="5">
        <v>2026</v>
      </c>
      <c r="C61" t="s">
        <v>218</v>
      </c>
      <c r="D61" s="7">
        <v>-1500</v>
      </c>
      <c r="E61" s="7">
        <f>-666-899-1000</f>
        <v>-2565</v>
      </c>
      <c r="F61" s="7">
        <f>-1100-860</f>
        <v>-1960</v>
      </c>
      <c r="G61" s="7">
        <v>-660</v>
      </c>
      <c r="H61" s="7">
        <v>-2000</v>
      </c>
      <c r="I61" s="7">
        <v>-2000</v>
      </c>
      <c r="J61" s="7"/>
      <c r="K61" s="7"/>
      <c r="L61" s="7"/>
      <c r="M61" s="7"/>
      <c r="N61" s="7"/>
      <c r="O61" s="7"/>
    </row>
    <row r="62" spans="2:18" ht="18" customHeight="1" x14ac:dyDescent="0.25">
      <c r="B62" s="5">
        <v>2026</v>
      </c>
      <c r="C62" t="s">
        <v>21</v>
      </c>
      <c r="D62" s="7">
        <v>-7000</v>
      </c>
      <c r="E62" s="7">
        <v>-7000</v>
      </c>
      <c r="F62" s="7">
        <v>-7000</v>
      </c>
      <c r="G62" s="7">
        <v>-5000</v>
      </c>
      <c r="H62" s="7">
        <v>-7000</v>
      </c>
      <c r="I62" s="7">
        <v>-6000</v>
      </c>
      <c r="J62" s="7"/>
      <c r="K62" s="7"/>
      <c r="L62" s="7"/>
      <c r="M62" s="7"/>
      <c r="N62" s="7"/>
      <c r="O62" s="7"/>
    </row>
    <row r="63" spans="2:18" ht="18" customHeight="1" x14ac:dyDescent="0.25">
      <c r="B63" s="5">
        <v>2026</v>
      </c>
      <c r="C63" t="s">
        <v>23</v>
      </c>
      <c r="D63" s="7">
        <v>-1000</v>
      </c>
      <c r="E63" s="7">
        <v>-1000</v>
      </c>
      <c r="F63" s="7">
        <v>-1000</v>
      </c>
      <c r="G63" s="7"/>
      <c r="H63" s="7">
        <v>-1000</v>
      </c>
      <c r="I63" s="7">
        <v>-1000</v>
      </c>
      <c r="J63" s="7"/>
      <c r="K63" s="7"/>
      <c r="L63" s="7"/>
      <c r="M63" s="7"/>
      <c r="N63" s="7"/>
      <c r="O63" s="7"/>
    </row>
    <row r="64" spans="2:18" ht="18" customHeight="1" x14ac:dyDescent="0.25">
      <c r="B64" s="5">
        <v>2026</v>
      </c>
      <c r="C64" t="s">
        <v>24</v>
      </c>
      <c r="D64" s="7"/>
      <c r="E64" s="7">
        <v>-2000</v>
      </c>
      <c r="F64" s="7">
        <v>-2000</v>
      </c>
      <c r="G64" s="7"/>
      <c r="H64" s="7"/>
      <c r="I64" s="7"/>
      <c r="J64" s="7"/>
      <c r="K64" s="7"/>
      <c r="L64" s="7"/>
      <c r="M64" s="7"/>
      <c r="N64" s="7"/>
      <c r="O64" s="7"/>
    </row>
    <row r="65" spans="2:15" ht="18" customHeight="1" x14ac:dyDescent="0.25">
      <c r="B65" s="5">
        <v>2026</v>
      </c>
      <c r="C65" t="s">
        <v>25</v>
      </c>
      <c r="D65" s="7">
        <v>-3000</v>
      </c>
      <c r="E65" s="7">
        <v>-3000</v>
      </c>
      <c r="F65" s="7">
        <v>-3000</v>
      </c>
      <c r="G65" s="7">
        <v>-4000</v>
      </c>
      <c r="H65" s="7">
        <v>-4000</v>
      </c>
      <c r="I65" s="7">
        <v>-4000</v>
      </c>
      <c r="J65" s="7"/>
      <c r="K65" s="7"/>
      <c r="L65" s="7"/>
      <c r="M65" s="7"/>
      <c r="N65" s="7"/>
      <c r="O65" s="7"/>
    </row>
    <row r="66" spans="2:15" ht="18" customHeight="1" x14ac:dyDescent="0.25">
      <c r="B66" s="5">
        <v>2026</v>
      </c>
      <c r="C66" t="s">
        <v>26</v>
      </c>
      <c r="D66" s="7">
        <v>-300</v>
      </c>
      <c r="E66" s="7">
        <v>-300</v>
      </c>
      <c r="F66" s="7">
        <v>-300</v>
      </c>
      <c r="G66" s="7">
        <v>-300</v>
      </c>
      <c r="H66" s="7"/>
      <c r="I66" s="7">
        <v>-300</v>
      </c>
      <c r="J66" s="7"/>
      <c r="K66" s="7"/>
      <c r="L66" s="7"/>
      <c r="M66" s="7"/>
      <c r="N66" s="7"/>
      <c r="O66" s="7"/>
    </row>
    <row r="67" spans="2:15" ht="18" customHeight="1" x14ac:dyDescent="0.25">
      <c r="B67" s="5">
        <v>2026</v>
      </c>
      <c r="C67" t="s">
        <v>27</v>
      </c>
      <c r="D67" s="7">
        <v>-1500</v>
      </c>
      <c r="E67" s="7"/>
      <c r="F67" s="7"/>
      <c r="G67" s="7">
        <v>-4500</v>
      </c>
      <c r="H67" s="7"/>
      <c r="I67" s="7"/>
      <c r="J67" s="7"/>
      <c r="K67" s="7"/>
      <c r="L67" s="7"/>
      <c r="M67" s="7"/>
      <c r="N67" s="7"/>
      <c r="O67" s="7"/>
    </row>
    <row r="68" spans="2:15" ht="18" customHeight="1" x14ac:dyDescent="0.25">
      <c r="B68" s="5">
        <v>2026</v>
      </c>
      <c r="C68" t="s">
        <v>29</v>
      </c>
      <c r="D68" s="7">
        <v>-1000</v>
      </c>
      <c r="E68" s="7">
        <v>-1000</v>
      </c>
      <c r="F68" s="7">
        <v>-1000</v>
      </c>
      <c r="G68" s="7"/>
      <c r="H68" s="7">
        <v>-1000</v>
      </c>
      <c r="I68" s="7">
        <v>-1000</v>
      </c>
      <c r="J68" s="7"/>
      <c r="K68" s="7"/>
      <c r="L68" s="7"/>
      <c r="M68" s="7"/>
      <c r="N68" s="7"/>
      <c r="O68" s="7"/>
    </row>
    <row r="69" spans="2:15" ht="18" customHeight="1" x14ac:dyDescent="0.25">
      <c r="B69" s="5">
        <v>2026</v>
      </c>
      <c r="C69" t="s">
        <v>30</v>
      </c>
      <c r="D69" s="7"/>
      <c r="E69" s="7"/>
      <c r="F69" s="7"/>
      <c r="G69" s="7"/>
      <c r="H69" s="7"/>
      <c r="I69" s="7"/>
      <c r="J69" s="7"/>
      <c r="K69" s="7"/>
      <c r="L69" s="7"/>
      <c r="M69" s="7"/>
      <c r="N69" s="7"/>
      <c r="O69" s="7"/>
    </row>
    <row r="70" spans="2:15" ht="18" customHeight="1" x14ac:dyDescent="0.25">
      <c r="B70" s="5">
        <v>2026</v>
      </c>
      <c r="C70" t="s">
        <v>31</v>
      </c>
      <c r="D70" s="7"/>
      <c r="E70" s="7"/>
      <c r="F70" s="7"/>
      <c r="G70" s="7"/>
      <c r="H70" s="7"/>
      <c r="I70" s="7"/>
      <c r="J70" s="7"/>
      <c r="K70" s="7"/>
      <c r="L70" s="7"/>
      <c r="M70" s="7"/>
      <c r="N70" s="7"/>
      <c r="O70" s="7"/>
    </row>
    <row r="71" spans="2:15" ht="18" customHeight="1" x14ac:dyDescent="0.25">
      <c r="B71" s="5">
        <v>2026</v>
      </c>
      <c r="C71" t="s">
        <v>32</v>
      </c>
      <c r="D71" s="7"/>
      <c r="E71" s="7"/>
      <c r="F71" s="7"/>
      <c r="G71" s="7"/>
      <c r="H71" s="7"/>
      <c r="I71" s="7"/>
      <c r="J71" s="7"/>
      <c r="K71" s="7"/>
      <c r="L71" s="7"/>
      <c r="M71" s="7"/>
      <c r="N71" s="7"/>
      <c r="O71" s="7"/>
    </row>
    <row r="72" spans="2:15" ht="18" customHeight="1" x14ac:dyDescent="0.25">
      <c r="B72" s="5">
        <v>2026</v>
      </c>
      <c r="C72" t="s">
        <v>83</v>
      </c>
      <c r="D72" s="7">
        <v>-5000</v>
      </c>
      <c r="E72" s="7">
        <v>-5000</v>
      </c>
      <c r="F72" s="7">
        <v>-5000</v>
      </c>
      <c r="G72" s="7">
        <v>-5000</v>
      </c>
      <c r="H72" s="7">
        <v>-5000</v>
      </c>
      <c r="I72" s="7">
        <v>-5000</v>
      </c>
      <c r="J72" s="7">
        <v>-5000</v>
      </c>
      <c r="K72" s="7">
        <v>-5000</v>
      </c>
      <c r="L72" s="7">
        <v>-5000</v>
      </c>
      <c r="M72" s="7">
        <v>-5000</v>
      </c>
      <c r="N72" s="7">
        <v>-5000</v>
      </c>
      <c r="O72" s="7">
        <v>-5000</v>
      </c>
    </row>
    <row r="73" spans="2:15" ht="18" customHeight="1" x14ac:dyDescent="0.25">
      <c r="B73" s="5">
        <v>2026</v>
      </c>
      <c r="C73" t="s">
        <v>84</v>
      </c>
      <c r="D73" s="7">
        <v>-5000</v>
      </c>
      <c r="E73" s="7">
        <v>-4621</v>
      </c>
      <c r="F73" s="7">
        <v>-4621</v>
      </c>
      <c r="G73" s="7">
        <v>-4621</v>
      </c>
      <c r="H73" s="7">
        <v>-4621</v>
      </c>
      <c r="I73" s="7">
        <v>-4621</v>
      </c>
      <c r="J73" s="7">
        <v>-4621</v>
      </c>
      <c r="K73" s="7">
        <v>-4621</v>
      </c>
      <c r="L73" s="7">
        <v>-4621</v>
      </c>
      <c r="M73" s="7">
        <v>-4621</v>
      </c>
      <c r="N73" s="7">
        <v>-4621</v>
      </c>
      <c r="O73" s="7">
        <v>-4621</v>
      </c>
    </row>
    <row r="74" spans="2:15" ht="18" customHeight="1" x14ac:dyDescent="0.25">
      <c r="B74" s="5">
        <v>2026</v>
      </c>
      <c r="C74" t="s">
        <v>37</v>
      </c>
      <c r="D74" s="7">
        <v>-55629</v>
      </c>
      <c r="E74" s="7">
        <v>-40991</v>
      </c>
      <c r="F74" s="7"/>
      <c r="G74" s="7"/>
      <c r="H74" s="7"/>
      <c r="I74" s="7">
        <v>-5000</v>
      </c>
      <c r="J74" s="7"/>
      <c r="K74" s="7"/>
      <c r="L74" s="7"/>
      <c r="M74" s="7"/>
      <c r="N74" s="7"/>
      <c r="O74" s="7"/>
    </row>
    <row r="75" spans="2:15" ht="18" customHeight="1" x14ac:dyDescent="0.25">
      <c r="B75" s="5">
        <v>2026</v>
      </c>
      <c r="C75" t="s">
        <v>39</v>
      </c>
      <c r="D75" s="7"/>
      <c r="E75" s="7"/>
      <c r="F75" s="7"/>
      <c r="G75" s="7"/>
      <c r="H75" s="7"/>
      <c r="I75" s="7"/>
      <c r="J75" s="7"/>
      <c r="K75" s="7"/>
      <c r="L75" s="7"/>
      <c r="M75" s="7"/>
      <c r="N75" s="7"/>
      <c r="O75" s="7"/>
    </row>
    <row r="76" spans="2:15" ht="18" customHeight="1" x14ac:dyDescent="0.25">
      <c r="B76" s="5">
        <v>2026</v>
      </c>
      <c r="C76" t="s">
        <v>40</v>
      </c>
      <c r="D76" s="7"/>
      <c r="E76" s="7"/>
      <c r="F76" s="7"/>
      <c r="G76" s="7"/>
      <c r="H76" s="7"/>
      <c r="I76" s="7"/>
      <c r="J76" s="7"/>
      <c r="K76" s="7"/>
      <c r="L76" s="7"/>
      <c r="M76" s="7"/>
      <c r="N76" s="7"/>
      <c r="O76" s="7"/>
    </row>
    <row r="77" spans="2:15" ht="18" customHeight="1" x14ac:dyDescent="0.25">
      <c r="B77" s="5">
        <v>2026</v>
      </c>
      <c r="C77" t="s">
        <v>33</v>
      </c>
      <c r="D77" s="7"/>
      <c r="E77" s="7"/>
      <c r="F77" s="7"/>
      <c r="G77" s="7"/>
      <c r="H77" s="7"/>
      <c r="I77" s="7"/>
      <c r="J77" s="7"/>
      <c r="K77" s="7"/>
      <c r="L77" s="7"/>
      <c r="M77" s="7"/>
      <c r="N77" s="7"/>
      <c r="O77" s="7"/>
    </row>
    <row r="78" spans="2:15" ht="18" customHeight="1" x14ac:dyDescent="0.25">
      <c r="B78" s="5">
        <v>2026</v>
      </c>
      <c r="C78" t="s">
        <v>36</v>
      </c>
      <c r="D78" s="7"/>
      <c r="E78" s="7">
        <v>-10000</v>
      </c>
      <c r="F78" s="7">
        <f>-10000-40000-5000</f>
        <v>-55000</v>
      </c>
      <c r="G78" s="7">
        <v>-67000</v>
      </c>
      <c r="H78" s="7">
        <v>-12000</v>
      </c>
      <c r="I78" s="7">
        <v>-12000</v>
      </c>
      <c r="J78" s="7"/>
      <c r="K78" s="7"/>
      <c r="L78" s="7"/>
      <c r="M78" s="7"/>
      <c r="N78" s="7"/>
      <c r="O78" s="7"/>
    </row>
    <row r="79" spans="2:15" ht="18" customHeight="1" x14ac:dyDescent="0.25">
      <c r="B79" s="5">
        <v>2026</v>
      </c>
      <c r="C79" t="s">
        <v>85</v>
      </c>
      <c r="D79" s="7">
        <v>48187</v>
      </c>
      <c r="E79" s="7">
        <v>56200</v>
      </c>
      <c r="F79" s="7">
        <v>56200</v>
      </c>
      <c r="G79" s="7">
        <v>56200</v>
      </c>
      <c r="H79" s="7">
        <v>56200</v>
      </c>
      <c r="I79" s="7">
        <v>56200</v>
      </c>
      <c r="J79" s="7"/>
      <c r="K79" s="7"/>
      <c r="L79" s="7"/>
      <c r="M79" s="7"/>
      <c r="N79" s="7"/>
      <c r="O79" s="7"/>
    </row>
    <row r="80" spans="2:15" ht="18" customHeight="1" x14ac:dyDescent="0.25">
      <c r="B80" s="5">
        <v>2026</v>
      </c>
      <c r="C80" t="s">
        <v>86</v>
      </c>
      <c r="D80" s="7">
        <v>43720</v>
      </c>
      <c r="E80" s="7">
        <v>43720</v>
      </c>
      <c r="F80" s="7">
        <v>43500</v>
      </c>
      <c r="G80" s="7">
        <v>48500</v>
      </c>
      <c r="H80" s="7">
        <v>48500</v>
      </c>
      <c r="I80" s="7">
        <v>48500</v>
      </c>
      <c r="J80" s="7"/>
      <c r="K80" s="7"/>
      <c r="L80" s="7"/>
      <c r="M80" s="7"/>
      <c r="N80" s="7"/>
      <c r="O80" s="7"/>
    </row>
    <row r="81" spans="2:15" ht="18" customHeight="1" x14ac:dyDescent="0.25">
      <c r="B81" s="5">
        <v>2026</v>
      </c>
      <c r="C81" t="s">
        <v>45</v>
      </c>
      <c r="D81" s="7"/>
      <c r="E81" s="7"/>
      <c r="F81" s="7"/>
      <c r="G81" s="7"/>
      <c r="H81" s="7"/>
      <c r="I81" s="7"/>
      <c r="J81" s="7"/>
      <c r="K81" s="7"/>
      <c r="L81" s="7"/>
      <c r="M81" s="7"/>
      <c r="N81" s="7"/>
      <c r="O81" s="7"/>
    </row>
    <row r="82" spans="2:15" ht="18" customHeight="1" x14ac:dyDescent="0.25">
      <c r="B82" s="5">
        <v>2026</v>
      </c>
      <c r="C82" t="s">
        <v>411</v>
      </c>
      <c r="D82" s="7"/>
      <c r="E82" s="7"/>
      <c r="F82" s="7"/>
      <c r="G82" s="7"/>
      <c r="H82" s="7"/>
      <c r="I82" s="7"/>
      <c r="J82" s="7"/>
      <c r="K82" s="7"/>
      <c r="L82" s="7"/>
      <c r="M82" s="7"/>
      <c r="N82" s="7"/>
      <c r="O82" s="7"/>
    </row>
    <row r="83" spans="2:15" ht="18" customHeight="1" x14ac:dyDescent="0.25">
      <c r="B83" s="5">
        <v>2026</v>
      </c>
      <c r="C83" t="s">
        <v>409</v>
      </c>
      <c r="D83" s="7"/>
      <c r="E83" s="7"/>
      <c r="F83" s="7"/>
      <c r="G83" s="7"/>
      <c r="H83" s="7"/>
      <c r="I83" s="7"/>
      <c r="J83" s="7"/>
      <c r="K83" s="7"/>
      <c r="L83" s="7"/>
      <c r="M83" s="7"/>
      <c r="N83" s="7"/>
      <c r="O83" s="7"/>
    </row>
    <row r="84" spans="2:15" ht="18" customHeight="1" x14ac:dyDescent="0.25">
      <c r="B84" s="5">
        <v>2026</v>
      </c>
      <c r="C84" t="s">
        <v>419</v>
      </c>
      <c r="D84" s="7"/>
      <c r="E84" s="7"/>
      <c r="F84" s="7"/>
      <c r="G84" s="7">
        <v>-8000</v>
      </c>
      <c r="H84" s="7"/>
      <c r="I84" s="7"/>
      <c r="J84" s="7"/>
      <c r="K84" s="7"/>
      <c r="L84" s="7"/>
      <c r="M84" s="7"/>
      <c r="N84" s="7"/>
      <c r="O84" s="7"/>
    </row>
    <row r="85" spans="2:15" ht="18" customHeight="1" x14ac:dyDescent="0.25">
      <c r="B85" s="5">
        <v>2026</v>
      </c>
      <c r="C85" t="s">
        <v>410</v>
      </c>
      <c r="D85" s="7"/>
      <c r="E85" s="7"/>
      <c r="F85" s="7"/>
      <c r="G85" s="7">
        <v>-10000</v>
      </c>
      <c r="H85" s="7"/>
      <c r="I85" s="7"/>
      <c r="J85" s="7"/>
      <c r="K85" s="7"/>
      <c r="L85" s="7"/>
      <c r="M85" s="7"/>
      <c r="N85" s="7"/>
      <c r="O85" s="7"/>
    </row>
    <row r="86" spans="2:15" ht="18" customHeight="1" x14ac:dyDescent="0.25">
      <c r="B86" s="5">
        <v>2026</v>
      </c>
      <c r="C86" t="s">
        <v>408</v>
      </c>
      <c r="D86" s="7"/>
      <c r="E86" s="7"/>
      <c r="F86" s="7"/>
      <c r="G86" s="7">
        <v>-6875</v>
      </c>
      <c r="H86" s="7"/>
      <c r="I86" s="7"/>
      <c r="J86" s="7"/>
      <c r="K86" s="7"/>
      <c r="L86" s="7"/>
      <c r="M86" s="7"/>
      <c r="N86" s="7"/>
      <c r="O86" s="7"/>
    </row>
  </sheetData>
  <pageMargins left="0.75" right="0.75" top="1" bottom="1" header="0.5" footer="0.5"/>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I779"/>
  <sheetViews>
    <sheetView showGridLines="0" zoomScaleNormal="100" workbookViewId="0">
      <pane xSplit="1" ySplit="8" topLeftCell="B707" activePane="bottomRight" state="frozen"/>
      <selection pane="topRight" activeCell="B1" sqref="B1"/>
      <selection pane="bottomLeft" activeCell="A9" sqref="A9"/>
      <selection pane="bottomRight" activeCell="F707" sqref="F707"/>
    </sheetView>
  </sheetViews>
  <sheetFormatPr defaultRowHeight="15" x14ac:dyDescent="0.25"/>
  <cols>
    <col min="1" max="1" width="1.28515625" customWidth="1"/>
    <col min="2" max="2" width="8.85546875" customWidth="1"/>
    <col min="3" max="3" width="14" customWidth="1"/>
    <col min="4" max="4" width="14.140625" style="3" customWidth="1"/>
    <col min="5" max="5" width="37.85546875" customWidth="1"/>
    <col min="6" max="6" width="23.5703125" customWidth="1"/>
    <col min="7" max="8" width="12.42578125" customWidth="1"/>
    <col min="9" max="9" width="21.42578125" bestFit="1" customWidth="1"/>
  </cols>
  <sheetData>
    <row r="1" spans="2:9" s="1" customFormat="1" x14ac:dyDescent="0.25">
      <c r="D1" s="2"/>
    </row>
    <row r="2" spans="2:9" s="1" customFormat="1" x14ac:dyDescent="0.25">
      <c r="D2" s="2"/>
    </row>
    <row r="3" spans="2:9" s="1" customFormat="1" x14ac:dyDescent="0.25">
      <c r="D3" s="2"/>
    </row>
    <row r="4" spans="2:9" s="1" customFormat="1" x14ac:dyDescent="0.25">
      <c r="D4" s="2"/>
    </row>
    <row r="5" spans="2:9" s="1" customFormat="1" x14ac:dyDescent="0.25">
      <c r="D5" s="2"/>
    </row>
    <row r="6" spans="2:9" s="1" customFormat="1" x14ac:dyDescent="0.25">
      <c r="D6" s="2"/>
    </row>
    <row r="7" spans="2:9" ht="3" customHeight="1" x14ac:dyDescent="0.25"/>
    <row r="8" spans="2:9" ht="18" customHeight="1" x14ac:dyDescent="0.25">
      <c r="B8" s="12" t="s">
        <v>47</v>
      </c>
      <c r="C8" s="12" t="s">
        <v>87</v>
      </c>
      <c r="D8" s="13" t="s">
        <v>65</v>
      </c>
      <c r="E8" s="12" t="s">
        <v>48</v>
      </c>
      <c r="F8" s="12" t="s">
        <v>0</v>
      </c>
      <c r="G8" s="12" t="s">
        <v>63</v>
      </c>
      <c r="H8" s="12" t="s">
        <v>62</v>
      </c>
      <c r="I8" s="12" t="s">
        <v>70</v>
      </c>
    </row>
    <row r="9" spans="2:9" ht="15" customHeight="1" x14ac:dyDescent="0.25">
      <c r="B9">
        <v>1</v>
      </c>
      <c r="C9" s="5" t="s">
        <v>122</v>
      </c>
      <c r="D9" s="19">
        <v>45962</v>
      </c>
      <c r="E9" t="s">
        <v>88</v>
      </c>
      <c r="F9" t="s">
        <v>11</v>
      </c>
      <c r="G9" s="16">
        <v>5100</v>
      </c>
      <c r="H9" s="16"/>
    </row>
    <row r="10" spans="2:9" ht="15" customHeight="1" x14ac:dyDescent="0.25">
      <c r="B10">
        <v>2</v>
      </c>
      <c r="C10" s="5" t="s">
        <v>122</v>
      </c>
      <c r="D10" s="19">
        <v>45962</v>
      </c>
      <c r="E10" t="s">
        <v>89</v>
      </c>
      <c r="F10" t="s">
        <v>21</v>
      </c>
      <c r="G10" s="16">
        <v>30</v>
      </c>
      <c r="H10" s="16"/>
    </row>
    <row r="11" spans="2:9" ht="15" customHeight="1" x14ac:dyDescent="0.25">
      <c r="B11">
        <v>3</v>
      </c>
      <c r="C11" s="5" t="s">
        <v>122</v>
      </c>
      <c r="D11" s="19">
        <v>45962</v>
      </c>
      <c r="E11" t="s">
        <v>90</v>
      </c>
      <c r="F11" t="s">
        <v>25</v>
      </c>
      <c r="G11" s="16">
        <v>50</v>
      </c>
      <c r="H11" s="16"/>
    </row>
    <row r="12" spans="2:9" ht="15" customHeight="1" x14ac:dyDescent="0.25">
      <c r="B12">
        <v>4</v>
      </c>
      <c r="C12" s="5" t="s">
        <v>122</v>
      </c>
      <c r="D12" s="19">
        <v>45962</v>
      </c>
      <c r="E12" t="s">
        <v>90</v>
      </c>
      <c r="F12" t="s">
        <v>25</v>
      </c>
      <c r="G12" s="16">
        <v>40</v>
      </c>
      <c r="H12" s="16"/>
    </row>
    <row r="13" spans="2:9" ht="15" customHeight="1" x14ac:dyDescent="0.25">
      <c r="B13">
        <v>5</v>
      </c>
      <c r="C13" s="5" t="s">
        <v>122</v>
      </c>
      <c r="D13" s="19">
        <v>45962</v>
      </c>
      <c r="E13" t="s">
        <v>148</v>
      </c>
      <c r="F13" t="s">
        <v>21</v>
      </c>
      <c r="G13" s="16">
        <v>27</v>
      </c>
      <c r="H13" s="16"/>
    </row>
    <row r="14" spans="2:9" ht="15" customHeight="1" x14ac:dyDescent="0.25">
      <c r="B14">
        <v>6</v>
      </c>
      <c r="C14" s="5" t="s">
        <v>122</v>
      </c>
      <c r="D14" s="19">
        <v>45962</v>
      </c>
      <c r="E14" t="s">
        <v>91</v>
      </c>
      <c r="F14" t="s">
        <v>40</v>
      </c>
      <c r="G14" s="16"/>
      <c r="H14" s="16">
        <v>106</v>
      </c>
    </row>
    <row r="15" spans="2:9" ht="15" customHeight="1" x14ac:dyDescent="0.25">
      <c r="B15">
        <v>7</v>
      </c>
      <c r="C15" s="5" t="s">
        <v>122</v>
      </c>
      <c r="D15" s="19">
        <v>45962</v>
      </c>
      <c r="E15" t="s">
        <v>42</v>
      </c>
      <c r="F15" t="s">
        <v>85</v>
      </c>
      <c r="G15" s="16"/>
      <c r="H15" s="16">
        <v>48200</v>
      </c>
    </row>
    <row r="16" spans="2:9" ht="15" customHeight="1" x14ac:dyDescent="0.25">
      <c r="B16">
        <v>8</v>
      </c>
      <c r="C16" s="5" t="s">
        <v>122</v>
      </c>
      <c r="D16" s="19">
        <v>45962</v>
      </c>
      <c r="E16" t="s">
        <v>130</v>
      </c>
      <c r="F16" t="s">
        <v>37</v>
      </c>
      <c r="G16" s="16">
        <v>2921</v>
      </c>
      <c r="H16" s="16"/>
    </row>
    <row r="17" spans="2:8" ht="15" customHeight="1" x14ac:dyDescent="0.25">
      <c r="B17">
        <v>9</v>
      </c>
      <c r="C17" s="5" t="s">
        <v>123</v>
      </c>
      <c r="D17" s="19">
        <v>45962</v>
      </c>
      <c r="E17" t="s">
        <v>124</v>
      </c>
      <c r="F17" t="s">
        <v>36</v>
      </c>
      <c r="G17" s="16">
        <v>63000</v>
      </c>
      <c r="H17" s="16"/>
    </row>
    <row r="18" spans="2:8" ht="15" customHeight="1" x14ac:dyDescent="0.25">
      <c r="B18">
        <v>10</v>
      </c>
      <c r="C18" s="5" t="s">
        <v>123</v>
      </c>
      <c r="D18" s="19">
        <v>45962</v>
      </c>
      <c r="E18" t="s">
        <v>42</v>
      </c>
      <c r="F18" t="s">
        <v>86</v>
      </c>
      <c r="G18" s="16"/>
      <c r="H18" s="16">
        <v>43000</v>
      </c>
    </row>
    <row r="19" spans="2:8" ht="15" customHeight="1" x14ac:dyDescent="0.25">
      <c r="B19">
        <v>11</v>
      </c>
      <c r="C19" s="5" t="s">
        <v>123</v>
      </c>
      <c r="D19" s="19">
        <v>45962</v>
      </c>
      <c r="E19" t="s">
        <v>129</v>
      </c>
      <c r="F19" t="s">
        <v>45</v>
      </c>
      <c r="G19" s="16"/>
      <c r="H19" s="16">
        <v>50000</v>
      </c>
    </row>
    <row r="20" spans="2:8" ht="15" customHeight="1" x14ac:dyDescent="0.25">
      <c r="B20">
        <v>12</v>
      </c>
      <c r="C20" s="5" t="s">
        <v>123</v>
      </c>
      <c r="D20" s="19">
        <v>45962</v>
      </c>
      <c r="E20" t="s">
        <v>130</v>
      </c>
      <c r="F20" t="s">
        <v>37</v>
      </c>
      <c r="G20" s="16">
        <v>20000</v>
      </c>
      <c r="H20" s="16"/>
    </row>
    <row r="21" spans="2:8" ht="15" customHeight="1" x14ac:dyDescent="0.25">
      <c r="B21">
        <v>13</v>
      </c>
      <c r="C21" s="5" t="s">
        <v>123</v>
      </c>
      <c r="D21" s="19">
        <v>45962</v>
      </c>
      <c r="E21" t="s">
        <v>131</v>
      </c>
      <c r="F21" t="s">
        <v>83</v>
      </c>
      <c r="G21" s="16">
        <v>11000</v>
      </c>
      <c r="H21" s="16"/>
    </row>
    <row r="22" spans="2:8" ht="15" customHeight="1" x14ac:dyDescent="0.25">
      <c r="B22">
        <v>14</v>
      </c>
      <c r="C22" s="5" t="s">
        <v>123</v>
      </c>
      <c r="D22" s="19">
        <v>45962</v>
      </c>
      <c r="E22" t="s">
        <v>119</v>
      </c>
      <c r="F22" t="s">
        <v>84</v>
      </c>
      <c r="G22" s="16">
        <v>5000</v>
      </c>
      <c r="H22" s="16"/>
    </row>
    <row r="23" spans="2:8" ht="15" customHeight="1" x14ac:dyDescent="0.25">
      <c r="B23">
        <v>15</v>
      </c>
      <c r="C23" s="5" t="s">
        <v>122</v>
      </c>
      <c r="D23" s="19">
        <v>45963</v>
      </c>
      <c r="E23" t="s">
        <v>92</v>
      </c>
      <c r="F23" t="s">
        <v>24</v>
      </c>
      <c r="G23" s="16">
        <v>2717</v>
      </c>
      <c r="H23" s="16"/>
    </row>
    <row r="24" spans="2:8" ht="15" customHeight="1" x14ac:dyDescent="0.25">
      <c r="B24">
        <v>16</v>
      </c>
      <c r="C24" s="5" t="s">
        <v>122</v>
      </c>
      <c r="D24" s="19">
        <v>45963</v>
      </c>
      <c r="E24" t="s">
        <v>93</v>
      </c>
      <c r="F24" t="s">
        <v>24</v>
      </c>
      <c r="G24" s="16">
        <v>3204.5</v>
      </c>
      <c r="H24" s="16"/>
    </row>
    <row r="25" spans="2:8" ht="15" customHeight="1" x14ac:dyDescent="0.25">
      <c r="B25">
        <v>17</v>
      </c>
      <c r="C25" s="5" t="s">
        <v>122</v>
      </c>
      <c r="D25" s="19">
        <v>45963</v>
      </c>
      <c r="E25" t="s">
        <v>94</v>
      </c>
      <c r="F25" t="s">
        <v>21</v>
      </c>
      <c r="G25" s="16">
        <v>250</v>
      </c>
      <c r="H25" s="16"/>
    </row>
    <row r="26" spans="2:8" ht="15" customHeight="1" x14ac:dyDescent="0.25">
      <c r="B26">
        <v>18</v>
      </c>
      <c r="C26" s="5" t="s">
        <v>122</v>
      </c>
      <c r="D26" s="19">
        <v>45963</v>
      </c>
      <c r="E26" t="s">
        <v>95</v>
      </c>
      <c r="F26" t="s">
        <v>21</v>
      </c>
      <c r="G26" s="16">
        <v>158</v>
      </c>
      <c r="H26" s="16"/>
    </row>
    <row r="27" spans="2:8" ht="15" customHeight="1" x14ac:dyDescent="0.25">
      <c r="B27">
        <v>19</v>
      </c>
      <c r="C27" s="5" t="s">
        <v>122</v>
      </c>
      <c r="D27" s="19">
        <v>45963</v>
      </c>
      <c r="E27" t="s">
        <v>96</v>
      </c>
      <c r="F27" t="s">
        <v>21</v>
      </c>
      <c r="G27" s="16">
        <v>140</v>
      </c>
      <c r="H27" s="16"/>
    </row>
    <row r="28" spans="2:8" ht="15" customHeight="1" x14ac:dyDescent="0.25">
      <c r="B28">
        <v>20</v>
      </c>
      <c r="C28" s="5" t="s">
        <v>122</v>
      </c>
      <c r="D28" s="19">
        <v>45963</v>
      </c>
      <c r="E28" t="s">
        <v>97</v>
      </c>
      <c r="F28" t="s">
        <v>40</v>
      </c>
      <c r="G28" s="16">
        <v>100</v>
      </c>
      <c r="H28" s="16"/>
    </row>
    <row r="29" spans="2:8" ht="15" customHeight="1" x14ac:dyDescent="0.25">
      <c r="B29">
        <v>21</v>
      </c>
      <c r="C29" s="5" t="s">
        <v>122</v>
      </c>
      <c r="D29" s="19">
        <v>45963</v>
      </c>
      <c r="E29" t="s">
        <v>148</v>
      </c>
      <c r="F29" t="s">
        <v>21</v>
      </c>
      <c r="G29" s="16">
        <v>53</v>
      </c>
      <c r="H29" s="16"/>
    </row>
    <row r="30" spans="2:8" ht="15" customHeight="1" x14ac:dyDescent="0.25">
      <c r="B30">
        <v>22</v>
      </c>
      <c r="C30" s="5" t="s">
        <v>122</v>
      </c>
      <c r="D30" s="19">
        <v>45963</v>
      </c>
      <c r="E30" t="s">
        <v>98</v>
      </c>
      <c r="F30" t="s">
        <v>40</v>
      </c>
      <c r="G30" s="16"/>
      <c r="H30" s="16">
        <v>100</v>
      </c>
    </row>
    <row r="31" spans="2:8" ht="15" customHeight="1" x14ac:dyDescent="0.25">
      <c r="B31">
        <v>23</v>
      </c>
      <c r="C31" s="5" t="s">
        <v>122</v>
      </c>
      <c r="D31" s="19">
        <v>45963</v>
      </c>
      <c r="E31" t="s">
        <v>99</v>
      </c>
      <c r="F31" t="s">
        <v>40</v>
      </c>
      <c r="G31" s="16"/>
      <c r="H31" s="16">
        <v>106</v>
      </c>
    </row>
    <row r="32" spans="2:8" ht="15" customHeight="1" x14ac:dyDescent="0.25">
      <c r="B32">
        <v>24</v>
      </c>
      <c r="C32" s="5" t="s">
        <v>122</v>
      </c>
      <c r="D32" s="19">
        <v>45964</v>
      </c>
      <c r="E32" t="s">
        <v>118</v>
      </c>
      <c r="F32" t="s">
        <v>218</v>
      </c>
      <c r="G32" s="16">
        <v>1000</v>
      </c>
      <c r="H32" s="16"/>
    </row>
    <row r="33" spans="2:8" ht="15" customHeight="1" x14ac:dyDescent="0.25">
      <c r="B33">
        <v>25</v>
      </c>
      <c r="C33" s="5" t="s">
        <v>122</v>
      </c>
      <c r="D33" s="19">
        <v>45964</v>
      </c>
      <c r="E33" t="s">
        <v>148</v>
      </c>
      <c r="F33" t="s">
        <v>21</v>
      </c>
      <c r="G33" s="16">
        <v>110</v>
      </c>
      <c r="H33" s="16"/>
    </row>
    <row r="34" spans="2:8" ht="15" customHeight="1" x14ac:dyDescent="0.25">
      <c r="B34">
        <v>26</v>
      </c>
      <c r="C34" s="5" t="s">
        <v>122</v>
      </c>
      <c r="D34" s="19">
        <v>45964</v>
      </c>
      <c r="E34" t="s">
        <v>101</v>
      </c>
      <c r="F34" t="s">
        <v>21</v>
      </c>
      <c r="G34" s="16">
        <v>45</v>
      </c>
      <c r="H34" s="16"/>
    </row>
    <row r="35" spans="2:8" ht="15" customHeight="1" x14ac:dyDescent="0.25">
      <c r="B35">
        <v>27</v>
      </c>
      <c r="C35" s="5" t="s">
        <v>122</v>
      </c>
      <c r="D35" s="19">
        <v>45965</v>
      </c>
      <c r="E35" t="s">
        <v>120</v>
      </c>
      <c r="F35" t="s">
        <v>218</v>
      </c>
      <c r="G35" s="16">
        <v>298</v>
      </c>
      <c r="H35" s="16"/>
    </row>
    <row r="36" spans="2:8" ht="15" customHeight="1" x14ac:dyDescent="0.25">
      <c r="B36">
        <v>28</v>
      </c>
      <c r="C36" s="5" t="s">
        <v>122</v>
      </c>
      <c r="D36" s="19">
        <v>45965</v>
      </c>
      <c r="E36" t="s">
        <v>102</v>
      </c>
      <c r="F36" t="s">
        <v>8</v>
      </c>
      <c r="G36" s="16">
        <v>200</v>
      </c>
      <c r="H36" s="16"/>
    </row>
    <row r="37" spans="2:8" ht="15" customHeight="1" x14ac:dyDescent="0.25">
      <c r="B37">
        <v>29</v>
      </c>
      <c r="C37" s="5" t="s">
        <v>122</v>
      </c>
      <c r="D37" s="19">
        <v>45965</v>
      </c>
      <c r="E37" t="s">
        <v>100</v>
      </c>
      <c r="F37" t="s">
        <v>40</v>
      </c>
      <c r="G37" s="16">
        <v>200</v>
      </c>
      <c r="H37" s="16"/>
    </row>
    <row r="38" spans="2:8" ht="15" customHeight="1" x14ac:dyDescent="0.25">
      <c r="B38">
        <v>30</v>
      </c>
      <c r="C38" s="5" t="s">
        <v>122</v>
      </c>
      <c r="D38" s="19">
        <v>45965</v>
      </c>
      <c r="E38" t="s">
        <v>121</v>
      </c>
      <c r="F38" t="s">
        <v>218</v>
      </c>
      <c r="G38" s="16">
        <v>299</v>
      </c>
      <c r="H38" s="16"/>
    </row>
    <row r="39" spans="2:8" ht="15" customHeight="1" x14ac:dyDescent="0.25">
      <c r="B39">
        <v>31</v>
      </c>
      <c r="C39" s="5" t="s">
        <v>122</v>
      </c>
      <c r="D39" s="19">
        <v>45966</v>
      </c>
      <c r="E39" t="s">
        <v>103</v>
      </c>
      <c r="F39" t="s">
        <v>10</v>
      </c>
      <c r="G39" s="16">
        <v>70</v>
      </c>
      <c r="H39" s="16"/>
    </row>
    <row r="40" spans="2:8" ht="15" customHeight="1" x14ac:dyDescent="0.25">
      <c r="B40">
        <v>32</v>
      </c>
      <c r="C40" s="5" t="s">
        <v>122</v>
      </c>
      <c r="D40" s="19">
        <v>45966</v>
      </c>
      <c r="E40" t="s">
        <v>104</v>
      </c>
      <c r="F40" t="s">
        <v>21</v>
      </c>
      <c r="G40" s="16">
        <v>140</v>
      </c>
      <c r="H40" s="16"/>
    </row>
    <row r="41" spans="2:8" ht="15" customHeight="1" x14ac:dyDescent="0.25">
      <c r="B41">
        <v>33</v>
      </c>
      <c r="C41" s="5" t="s">
        <v>122</v>
      </c>
      <c r="D41" s="19">
        <v>45966</v>
      </c>
      <c r="E41" t="s">
        <v>105</v>
      </c>
      <c r="F41" t="s">
        <v>21</v>
      </c>
      <c r="G41" s="16">
        <v>62</v>
      </c>
      <c r="H41" s="16"/>
    </row>
    <row r="42" spans="2:8" ht="15" customHeight="1" x14ac:dyDescent="0.25">
      <c r="B42">
        <v>34</v>
      </c>
      <c r="C42" s="5" t="s">
        <v>122</v>
      </c>
      <c r="D42" s="19">
        <v>45966</v>
      </c>
      <c r="E42" t="s">
        <v>106</v>
      </c>
      <c r="F42" t="s">
        <v>37</v>
      </c>
      <c r="G42" s="16">
        <v>29.5</v>
      </c>
      <c r="H42" s="16"/>
    </row>
    <row r="43" spans="2:8" ht="15" customHeight="1" x14ac:dyDescent="0.25">
      <c r="B43">
        <v>35</v>
      </c>
      <c r="C43" s="5" t="s">
        <v>122</v>
      </c>
      <c r="D43" s="19">
        <v>45967</v>
      </c>
      <c r="E43" t="s">
        <v>107</v>
      </c>
      <c r="F43" t="s">
        <v>11</v>
      </c>
      <c r="G43" s="16">
        <v>2700</v>
      </c>
      <c r="H43" s="16"/>
    </row>
    <row r="44" spans="2:8" ht="15" customHeight="1" x14ac:dyDescent="0.25">
      <c r="B44">
        <v>36</v>
      </c>
      <c r="C44" s="5" t="s">
        <v>122</v>
      </c>
      <c r="D44" s="19">
        <v>45967</v>
      </c>
      <c r="E44" t="s">
        <v>108</v>
      </c>
      <c r="F44" t="s">
        <v>10</v>
      </c>
      <c r="G44" s="16">
        <v>70</v>
      </c>
      <c r="H44" s="16"/>
    </row>
    <row r="45" spans="2:8" ht="15" customHeight="1" x14ac:dyDescent="0.25">
      <c r="B45">
        <v>37</v>
      </c>
      <c r="C45" s="5" t="s">
        <v>122</v>
      </c>
      <c r="D45" s="19">
        <v>45969</v>
      </c>
      <c r="E45" t="s">
        <v>109</v>
      </c>
      <c r="F45" t="s">
        <v>10</v>
      </c>
      <c r="G45" s="16">
        <v>1143.5999999999999</v>
      </c>
      <c r="H45" s="16"/>
    </row>
    <row r="46" spans="2:8" ht="15" customHeight="1" x14ac:dyDescent="0.25">
      <c r="B46">
        <v>38</v>
      </c>
      <c r="C46" s="5" t="s">
        <v>122</v>
      </c>
      <c r="D46" s="19">
        <v>45969</v>
      </c>
      <c r="E46" t="s">
        <v>110</v>
      </c>
      <c r="F46" t="s">
        <v>10</v>
      </c>
      <c r="G46" s="16">
        <v>1420</v>
      </c>
      <c r="H46" s="16"/>
    </row>
    <row r="47" spans="2:8" ht="15" customHeight="1" x14ac:dyDescent="0.25">
      <c r="B47">
        <v>39</v>
      </c>
      <c r="C47" s="5" t="s">
        <v>122</v>
      </c>
      <c r="D47" s="19">
        <v>45969</v>
      </c>
      <c r="E47" t="s">
        <v>111</v>
      </c>
      <c r="F47" t="s">
        <v>29</v>
      </c>
      <c r="G47" s="16">
        <v>470.8</v>
      </c>
      <c r="H47" s="16"/>
    </row>
    <row r="48" spans="2:8" ht="15" customHeight="1" x14ac:dyDescent="0.25">
      <c r="B48">
        <v>40</v>
      </c>
      <c r="C48" s="5" t="s">
        <v>122</v>
      </c>
      <c r="D48" s="19">
        <v>45969</v>
      </c>
      <c r="E48" t="s">
        <v>112</v>
      </c>
      <c r="F48" t="s">
        <v>8</v>
      </c>
      <c r="G48" s="16">
        <v>500</v>
      </c>
      <c r="H48" s="16"/>
    </row>
    <row r="49" spans="2:8" ht="15" customHeight="1" x14ac:dyDescent="0.25">
      <c r="B49">
        <v>41</v>
      </c>
      <c r="C49" s="5" t="s">
        <v>122</v>
      </c>
      <c r="D49" s="19">
        <v>45969</v>
      </c>
      <c r="E49" t="s">
        <v>113</v>
      </c>
      <c r="F49" t="s">
        <v>21</v>
      </c>
      <c r="G49" s="16">
        <v>352</v>
      </c>
      <c r="H49" s="16"/>
    </row>
    <row r="50" spans="2:8" ht="15" customHeight="1" x14ac:dyDescent="0.25">
      <c r="B50">
        <v>42</v>
      </c>
      <c r="C50" s="5" t="s">
        <v>122</v>
      </c>
      <c r="D50" s="19">
        <v>45969</v>
      </c>
      <c r="E50" t="s">
        <v>114</v>
      </c>
      <c r="F50" t="s">
        <v>25</v>
      </c>
      <c r="G50" s="16">
        <v>60</v>
      </c>
      <c r="H50" s="16"/>
    </row>
    <row r="51" spans="2:8" ht="15" customHeight="1" x14ac:dyDescent="0.25">
      <c r="B51">
        <v>43</v>
      </c>
      <c r="C51" s="5" t="s">
        <v>122</v>
      </c>
      <c r="D51" s="19">
        <v>45969</v>
      </c>
      <c r="E51" t="s">
        <v>115</v>
      </c>
      <c r="F51" t="s">
        <v>25</v>
      </c>
      <c r="G51" s="16">
        <v>30</v>
      </c>
      <c r="H51" s="16"/>
    </row>
    <row r="52" spans="2:8" ht="15" customHeight="1" x14ac:dyDescent="0.25">
      <c r="B52">
        <v>44</v>
      </c>
      <c r="C52" s="5" t="s">
        <v>122</v>
      </c>
      <c r="D52" s="19">
        <v>45969</v>
      </c>
      <c r="E52" t="s">
        <v>116</v>
      </c>
      <c r="F52" t="s">
        <v>25</v>
      </c>
      <c r="G52" s="16">
        <v>30</v>
      </c>
      <c r="H52" s="16"/>
    </row>
    <row r="53" spans="2:8" ht="15" customHeight="1" x14ac:dyDescent="0.25">
      <c r="B53">
        <v>45</v>
      </c>
      <c r="C53" s="5" t="s">
        <v>122</v>
      </c>
      <c r="D53" s="19">
        <v>45969</v>
      </c>
      <c r="E53" t="s">
        <v>117</v>
      </c>
      <c r="F53" t="s">
        <v>25</v>
      </c>
      <c r="G53" s="16">
        <v>20</v>
      </c>
      <c r="H53" s="16"/>
    </row>
    <row r="54" spans="2:8" ht="15" customHeight="1" x14ac:dyDescent="0.25">
      <c r="B54">
        <v>46</v>
      </c>
      <c r="C54" s="5" t="s">
        <v>123</v>
      </c>
      <c r="D54" s="19">
        <v>45969</v>
      </c>
      <c r="E54" t="s">
        <v>125</v>
      </c>
      <c r="F54" t="s">
        <v>24</v>
      </c>
      <c r="G54" s="16">
        <v>750</v>
      </c>
      <c r="H54" s="16"/>
    </row>
    <row r="55" spans="2:8" ht="15" customHeight="1" x14ac:dyDescent="0.25">
      <c r="B55">
        <v>47</v>
      </c>
      <c r="C55" s="5" t="s">
        <v>122</v>
      </c>
      <c r="D55" s="19">
        <v>45970</v>
      </c>
      <c r="E55" t="s">
        <v>126</v>
      </c>
      <c r="F55" t="s">
        <v>21</v>
      </c>
      <c r="G55" s="16">
        <v>940</v>
      </c>
      <c r="H55" s="16"/>
    </row>
    <row r="56" spans="2:8" ht="15" customHeight="1" x14ac:dyDescent="0.25">
      <c r="B56">
        <v>48</v>
      </c>
      <c r="C56" s="5" t="s">
        <v>122</v>
      </c>
      <c r="D56" s="19">
        <v>45970</v>
      </c>
      <c r="E56" t="s">
        <v>127</v>
      </c>
      <c r="F56" t="s">
        <v>7</v>
      </c>
      <c r="G56" s="16">
        <v>80</v>
      </c>
      <c r="H56" s="16"/>
    </row>
    <row r="57" spans="2:8" ht="15" customHeight="1" x14ac:dyDescent="0.25">
      <c r="B57">
        <v>49</v>
      </c>
      <c r="C57" s="5" t="s">
        <v>122</v>
      </c>
      <c r="D57" s="19">
        <v>45970</v>
      </c>
      <c r="E57" t="s">
        <v>128</v>
      </c>
      <c r="F57" t="s">
        <v>25</v>
      </c>
      <c r="G57" s="16">
        <v>165</v>
      </c>
      <c r="H57" s="16"/>
    </row>
    <row r="58" spans="2:8" ht="15" customHeight="1" x14ac:dyDescent="0.25">
      <c r="B58">
        <v>50</v>
      </c>
      <c r="C58" s="5" t="s">
        <v>122</v>
      </c>
      <c r="D58" s="19">
        <v>45972</v>
      </c>
      <c r="E58" t="s">
        <v>132</v>
      </c>
      <c r="F58" t="s">
        <v>10</v>
      </c>
      <c r="G58" s="16"/>
      <c r="H58" s="16">
        <v>740</v>
      </c>
    </row>
    <row r="59" spans="2:8" ht="15" customHeight="1" x14ac:dyDescent="0.25">
      <c r="B59">
        <v>51</v>
      </c>
      <c r="C59" s="5" t="s">
        <v>122</v>
      </c>
      <c r="D59" s="19">
        <v>45972</v>
      </c>
      <c r="E59" t="s">
        <v>133</v>
      </c>
      <c r="F59" t="s">
        <v>10</v>
      </c>
      <c r="G59" s="16">
        <v>1330</v>
      </c>
      <c r="H59" s="16"/>
    </row>
    <row r="60" spans="2:8" ht="15" customHeight="1" x14ac:dyDescent="0.25">
      <c r="B60">
        <v>52</v>
      </c>
      <c r="C60" s="5" t="s">
        <v>122</v>
      </c>
      <c r="D60" s="19">
        <v>45973</v>
      </c>
      <c r="E60" t="s">
        <v>134</v>
      </c>
      <c r="F60" t="s">
        <v>7</v>
      </c>
      <c r="G60" s="16">
        <v>255</v>
      </c>
      <c r="H60" s="16"/>
    </row>
    <row r="61" spans="2:8" ht="15" customHeight="1" x14ac:dyDescent="0.25">
      <c r="B61">
        <v>53</v>
      </c>
      <c r="C61" s="5" t="s">
        <v>122</v>
      </c>
      <c r="D61" s="19">
        <v>45974</v>
      </c>
      <c r="E61" t="s">
        <v>148</v>
      </c>
      <c r="F61" t="s">
        <v>21</v>
      </c>
      <c r="G61" s="16">
        <v>125</v>
      </c>
      <c r="H61" s="16"/>
    </row>
    <row r="62" spans="2:8" ht="15" customHeight="1" x14ac:dyDescent="0.25">
      <c r="B62">
        <v>54</v>
      </c>
      <c r="C62" s="5" t="s">
        <v>122</v>
      </c>
      <c r="D62" s="19">
        <v>45974</v>
      </c>
      <c r="E62" t="s">
        <v>135</v>
      </c>
      <c r="F62" t="s">
        <v>25</v>
      </c>
      <c r="G62" s="16">
        <v>40</v>
      </c>
      <c r="H62" s="16"/>
    </row>
    <row r="63" spans="2:8" ht="15" customHeight="1" x14ac:dyDescent="0.25">
      <c r="B63">
        <v>55</v>
      </c>
      <c r="C63" s="5" t="s">
        <v>122</v>
      </c>
      <c r="D63" s="19">
        <v>45974</v>
      </c>
      <c r="E63" t="s">
        <v>136</v>
      </c>
      <c r="F63" t="s">
        <v>21</v>
      </c>
      <c r="G63" s="16">
        <v>803.46</v>
      </c>
      <c r="H63" s="16"/>
    </row>
    <row r="64" spans="2:8" ht="15" customHeight="1" x14ac:dyDescent="0.25">
      <c r="B64">
        <v>56</v>
      </c>
      <c r="C64" s="5" t="s">
        <v>122</v>
      </c>
      <c r="D64" s="19">
        <v>45975</v>
      </c>
      <c r="E64" t="s">
        <v>137</v>
      </c>
      <c r="F64" t="s">
        <v>25</v>
      </c>
      <c r="G64" s="16">
        <v>160</v>
      </c>
      <c r="H64" s="16"/>
    </row>
    <row r="65" spans="2:9" ht="15" customHeight="1" x14ac:dyDescent="0.25">
      <c r="B65">
        <v>57</v>
      </c>
      <c r="C65" s="5" t="s">
        <v>122</v>
      </c>
      <c r="D65" s="19">
        <v>45975</v>
      </c>
      <c r="E65" t="s">
        <v>138</v>
      </c>
      <c r="F65" t="s">
        <v>7</v>
      </c>
      <c r="G65" s="16">
        <v>20</v>
      </c>
      <c r="H65" s="16"/>
    </row>
    <row r="66" spans="2:9" ht="15" customHeight="1" x14ac:dyDescent="0.25">
      <c r="B66">
        <v>58</v>
      </c>
      <c r="C66" s="5" t="s">
        <v>122</v>
      </c>
      <c r="D66" s="19">
        <v>45975</v>
      </c>
      <c r="E66" t="s">
        <v>139</v>
      </c>
      <c r="F66" t="s">
        <v>3</v>
      </c>
      <c r="G66" s="16">
        <v>15500</v>
      </c>
      <c r="H66" s="16"/>
    </row>
    <row r="67" spans="2:9" ht="15" customHeight="1" x14ac:dyDescent="0.25">
      <c r="B67">
        <v>59</v>
      </c>
      <c r="C67" s="5" t="s">
        <v>122</v>
      </c>
      <c r="D67" s="19">
        <v>45975</v>
      </c>
      <c r="E67" t="s">
        <v>81</v>
      </c>
      <c r="F67" t="s">
        <v>81</v>
      </c>
      <c r="G67" s="16">
        <v>250</v>
      </c>
      <c r="H67" s="16"/>
    </row>
    <row r="68" spans="2:9" ht="15" customHeight="1" x14ac:dyDescent="0.25">
      <c r="B68">
        <v>60</v>
      </c>
      <c r="C68" s="5" t="s">
        <v>122</v>
      </c>
      <c r="D68" s="19">
        <v>45975</v>
      </c>
      <c r="E68" t="s">
        <v>6</v>
      </c>
      <c r="F68" t="s">
        <v>6</v>
      </c>
      <c r="G68" s="16">
        <v>609</v>
      </c>
      <c r="H68" s="16"/>
    </row>
    <row r="69" spans="2:9" ht="15" customHeight="1" x14ac:dyDescent="0.25">
      <c r="B69">
        <v>61</v>
      </c>
      <c r="C69" s="5" t="s">
        <v>123</v>
      </c>
      <c r="D69" s="19">
        <v>45975</v>
      </c>
      <c r="E69" t="s">
        <v>140</v>
      </c>
      <c r="F69" t="s">
        <v>7</v>
      </c>
      <c r="G69" s="16">
        <v>856</v>
      </c>
      <c r="H69" s="16"/>
    </row>
    <row r="70" spans="2:9" ht="15" customHeight="1" x14ac:dyDescent="0.25">
      <c r="B70">
        <v>62</v>
      </c>
      <c r="C70" s="5" t="s">
        <v>123</v>
      </c>
      <c r="D70" s="19">
        <v>45975</v>
      </c>
      <c r="E70" t="s">
        <v>141</v>
      </c>
      <c r="F70" t="s">
        <v>7</v>
      </c>
      <c r="G70" s="16">
        <v>384</v>
      </c>
      <c r="H70" s="16"/>
    </row>
    <row r="71" spans="2:9" ht="15" customHeight="1" x14ac:dyDescent="0.25">
      <c r="B71">
        <v>63</v>
      </c>
      <c r="C71" s="5" t="s">
        <v>123</v>
      </c>
      <c r="D71" s="19">
        <v>45975</v>
      </c>
      <c r="E71" t="s">
        <v>142</v>
      </c>
      <c r="F71" t="s">
        <v>25</v>
      </c>
      <c r="G71" s="16">
        <v>490</v>
      </c>
      <c r="H71" s="16"/>
    </row>
    <row r="72" spans="2:9" ht="15" customHeight="1" x14ac:dyDescent="0.25">
      <c r="B72">
        <v>64</v>
      </c>
      <c r="C72" s="5" t="s">
        <v>123</v>
      </c>
      <c r="D72" s="19">
        <v>45975</v>
      </c>
      <c r="E72" t="s">
        <v>143</v>
      </c>
      <c r="F72" t="s">
        <v>21</v>
      </c>
      <c r="G72" s="16">
        <f>50+113+100+220+20+83+29+100</f>
        <v>715</v>
      </c>
      <c r="H72" s="16"/>
    </row>
    <row r="73" spans="2:9" ht="15" customHeight="1" x14ac:dyDescent="0.25">
      <c r="B73">
        <v>65</v>
      </c>
      <c r="C73" s="5" t="s">
        <v>122</v>
      </c>
      <c r="D73" s="19">
        <v>45977</v>
      </c>
      <c r="E73" t="s">
        <v>145</v>
      </c>
      <c r="F73" t="s">
        <v>21</v>
      </c>
      <c r="G73" s="16">
        <v>67</v>
      </c>
      <c r="H73" s="16"/>
    </row>
    <row r="74" spans="2:9" ht="15" customHeight="1" x14ac:dyDescent="0.25">
      <c r="B74">
        <v>66</v>
      </c>
      <c r="C74" s="5" t="s">
        <v>122</v>
      </c>
      <c r="D74" s="19">
        <v>45977</v>
      </c>
      <c r="E74" t="s">
        <v>144</v>
      </c>
      <c r="F74" t="s">
        <v>21</v>
      </c>
      <c r="G74" s="16">
        <v>150</v>
      </c>
      <c r="H74" s="16"/>
    </row>
    <row r="75" spans="2:9" ht="15" customHeight="1" x14ac:dyDescent="0.25">
      <c r="B75">
        <v>67</v>
      </c>
      <c r="C75" s="5" t="s">
        <v>122</v>
      </c>
      <c r="D75" s="19">
        <v>45977</v>
      </c>
      <c r="E75" t="s">
        <v>146</v>
      </c>
      <c r="F75" t="s">
        <v>21</v>
      </c>
      <c r="G75" s="16">
        <v>330</v>
      </c>
      <c r="H75" s="16"/>
    </row>
    <row r="76" spans="2:9" ht="15" customHeight="1" x14ac:dyDescent="0.25">
      <c r="B76">
        <v>68</v>
      </c>
      <c r="C76" s="5" t="s">
        <v>122</v>
      </c>
      <c r="D76" s="19">
        <v>45977</v>
      </c>
      <c r="E76" t="s">
        <v>147</v>
      </c>
      <c r="F76" t="s">
        <v>25</v>
      </c>
      <c r="G76" s="16">
        <v>40</v>
      </c>
      <c r="H76" s="16"/>
    </row>
    <row r="77" spans="2:9" ht="15" customHeight="1" x14ac:dyDescent="0.25">
      <c r="B77">
        <v>69</v>
      </c>
      <c r="C77" s="5" t="s">
        <v>122</v>
      </c>
      <c r="D77" s="19">
        <v>45978</v>
      </c>
      <c r="E77" t="s">
        <v>149</v>
      </c>
      <c r="F77" t="s">
        <v>21</v>
      </c>
      <c r="G77" s="16">
        <v>147</v>
      </c>
      <c r="H77" s="16"/>
    </row>
    <row r="78" spans="2:9" ht="15" customHeight="1" x14ac:dyDescent="0.25">
      <c r="B78">
        <v>70</v>
      </c>
      <c r="C78" s="5" t="s">
        <v>123</v>
      </c>
      <c r="D78" s="19">
        <v>45978</v>
      </c>
      <c r="E78" t="s">
        <v>141</v>
      </c>
      <c r="F78" t="s">
        <v>21</v>
      </c>
      <c r="G78" s="16">
        <v>161</v>
      </c>
      <c r="H78" s="16"/>
    </row>
    <row r="79" spans="2:9" ht="15" customHeight="1" x14ac:dyDescent="0.25">
      <c r="B79">
        <v>71</v>
      </c>
      <c r="C79" s="5" t="s">
        <v>123</v>
      </c>
      <c r="D79" s="19">
        <v>45979</v>
      </c>
      <c r="E79" t="s">
        <v>159</v>
      </c>
      <c r="F79" t="s">
        <v>25</v>
      </c>
      <c r="G79" s="16">
        <v>360</v>
      </c>
      <c r="H79" s="16"/>
    </row>
    <row r="80" spans="2:9" ht="15" customHeight="1" x14ac:dyDescent="0.25">
      <c r="B80">
        <v>72</v>
      </c>
      <c r="C80" s="5" t="s">
        <v>123</v>
      </c>
      <c r="D80" s="19">
        <v>45979</v>
      </c>
      <c r="E80" t="s">
        <v>160</v>
      </c>
      <c r="F80" t="s">
        <v>21</v>
      </c>
      <c r="G80" s="16">
        <v>500</v>
      </c>
      <c r="H80" s="16"/>
      <c r="I80" t="s">
        <v>161</v>
      </c>
    </row>
    <row r="81" spans="2:8" ht="15" customHeight="1" x14ac:dyDescent="0.25">
      <c r="B81">
        <v>73</v>
      </c>
      <c r="C81" s="5" t="s">
        <v>122</v>
      </c>
      <c r="D81" s="19">
        <v>45982</v>
      </c>
      <c r="E81" t="s">
        <v>150</v>
      </c>
      <c r="F81" t="s">
        <v>25</v>
      </c>
      <c r="G81" s="16">
        <v>340</v>
      </c>
      <c r="H81" s="16"/>
    </row>
    <row r="82" spans="2:8" ht="15" customHeight="1" x14ac:dyDescent="0.25">
      <c r="B82">
        <v>74</v>
      </c>
      <c r="C82" s="5" t="s">
        <v>122</v>
      </c>
      <c r="D82" s="19">
        <v>45983</v>
      </c>
      <c r="E82" t="s">
        <v>151</v>
      </c>
      <c r="F82" t="s">
        <v>25</v>
      </c>
      <c r="G82" s="16">
        <v>24</v>
      </c>
      <c r="H82" s="16"/>
    </row>
    <row r="83" spans="2:8" ht="15" customHeight="1" x14ac:dyDescent="0.25">
      <c r="B83">
        <v>75</v>
      </c>
      <c r="C83" s="5" t="s">
        <v>122</v>
      </c>
      <c r="D83" s="19">
        <v>45983</v>
      </c>
      <c r="E83" t="s">
        <v>152</v>
      </c>
      <c r="F83" t="s">
        <v>14</v>
      </c>
      <c r="G83" s="16">
        <v>30</v>
      </c>
      <c r="H83" s="16"/>
    </row>
    <row r="84" spans="2:8" ht="15" customHeight="1" x14ac:dyDescent="0.25">
      <c r="B84">
        <v>76</v>
      </c>
      <c r="C84" s="5" t="s">
        <v>122</v>
      </c>
      <c r="D84" s="19">
        <v>45984</v>
      </c>
      <c r="E84" t="s">
        <v>153</v>
      </c>
      <c r="F84" t="s">
        <v>21</v>
      </c>
      <c r="G84" s="16">
        <v>855</v>
      </c>
      <c r="H84" s="16"/>
    </row>
    <row r="85" spans="2:8" ht="15" customHeight="1" x14ac:dyDescent="0.25">
      <c r="B85">
        <v>77</v>
      </c>
      <c r="C85" s="5" t="s">
        <v>123</v>
      </c>
      <c r="D85" s="19">
        <v>45984</v>
      </c>
      <c r="E85" t="s">
        <v>162</v>
      </c>
      <c r="F85" t="s">
        <v>25</v>
      </c>
      <c r="G85" s="16">
        <v>300</v>
      </c>
      <c r="H85" s="16"/>
    </row>
    <row r="86" spans="2:8" ht="15" customHeight="1" x14ac:dyDescent="0.25">
      <c r="B86">
        <v>78</v>
      </c>
      <c r="C86" s="5" t="s">
        <v>123</v>
      </c>
      <c r="D86" s="19">
        <v>45984</v>
      </c>
      <c r="E86" t="s">
        <v>163</v>
      </c>
      <c r="F86" t="s">
        <v>20</v>
      </c>
      <c r="G86" s="16">
        <v>150</v>
      </c>
      <c r="H86" s="16"/>
    </row>
    <row r="87" spans="2:8" ht="15" customHeight="1" x14ac:dyDescent="0.25">
      <c r="B87">
        <v>79</v>
      </c>
      <c r="C87" s="5" t="s">
        <v>122</v>
      </c>
      <c r="D87" s="19">
        <v>45985</v>
      </c>
      <c r="E87" t="s">
        <v>128</v>
      </c>
      <c r="F87" t="s">
        <v>25</v>
      </c>
      <c r="G87" s="16">
        <v>70</v>
      </c>
      <c r="H87" s="16"/>
    </row>
    <row r="88" spans="2:8" ht="15" customHeight="1" x14ac:dyDescent="0.25">
      <c r="B88">
        <v>80</v>
      </c>
      <c r="C88" s="5" t="s">
        <v>122</v>
      </c>
      <c r="D88" s="19">
        <v>45985</v>
      </c>
      <c r="E88" t="s">
        <v>154</v>
      </c>
      <c r="F88" t="s">
        <v>25</v>
      </c>
      <c r="G88" s="16">
        <v>230</v>
      </c>
      <c r="H88" s="16"/>
    </row>
    <row r="89" spans="2:8" ht="15" customHeight="1" x14ac:dyDescent="0.25">
      <c r="B89">
        <v>81</v>
      </c>
      <c r="C89" s="5" t="s">
        <v>122</v>
      </c>
      <c r="D89" s="19">
        <v>45985</v>
      </c>
      <c r="E89" t="s">
        <v>155</v>
      </c>
      <c r="F89" t="s">
        <v>25</v>
      </c>
      <c r="G89" s="16">
        <v>30</v>
      </c>
      <c r="H89" s="16"/>
    </row>
    <row r="90" spans="2:8" ht="15" customHeight="1" x14ac:dyDescent="0.25">
      <c r="B90">
        <v>82</v>
      </c>
      <c r="C90" s="5" t="s">
        <v>122</v>
      </c>
      <c r="D90" s="19">
        <v>45985</v>
      </c>
      <c r="E90" t="s">
        <v>166</v>
      </c>
      <c r="F90" t="s">
        <v>45</v>
      </c>
      <c r="G90" s="16"/>
      <c r="H90" s="16">
        <v>5000</v>
      </c>
    </row>
    <row r="91" spans="2:8" ht="15" customHeight="1" x14ac:dyDescent="0.25">
      <c r="B91">
        <v>83</v>
      </c>
      <c r="C91" s="5" t="s">
        <v>123</v>
      </c>
      <c r="D91" s="19">
        <v>45985</v>
      </c>
      <c r="E91" t="s">
        <v>164</v>
      </c>
      <c r="F91" t="s">
        <v>25</v>
      </c>
      <c r="G91" s="16">
        <v>100</v>
      </c>
      <c r="H91" s="16"/>
    </row>
    <row r="92" spans="2:8" ht="15" customHeight="1" x14ac:dyDescent="0.25">
      <c r="B92">
        <v>84</v>
      </c>
      <c r="C92" s="5" t="s">
        <v>123</v>
      </c>
      <c r="D92" s="19">
        <v>45985</v>
      </c>
      <c r="E92" t="s">
        <v>162</v>
      </c>
      <c r="F92" t="s">
        <v>25</v>
      </c>
      <c r="G92" s="16">
        <v>380</v>
      </c>
      <c r="H92" s="16"/>
    </row>
    <row r="93" spans="2:8" ht="15" customHeight="1" x14ac:dyDescent="0.25">
      <c r="B93">
        <v>85</v>
      </c>
      <c r="C93" s="5" t="s">
        <v>122</v>
      </c>
      <c r="D93" s="19">
        <v>45986</v>
      </c>
      <c r="E93" t="s">
        <v>156</v>
      </c>
      <c r="F93" t="s">
        <v>10</v>
      </c>
      <c r="G93" s="16">
        <v>120</v>
      </c>
      <c r="H93" s="16"/>
    </row>
    <row r="94" spans="2:8" ht="15" customHeight="1" x14ac:dyDescent="0.25">
      <c r="B94">
        <v>86</v>
      </c>
      <c r="C94" s="5" t="s">
        <v>122</v>
      </c>
      <c r="D94" s="19">
        <v>45986</v>
      </c>
      <c r="E94" t="s">
        <v>148</v>
      </c>
      <c r="F94" t="s">
        <v>21</v>
      </c>
      <c r="G94" s="16">
        <v>63</v>
      </c>
      <c r="H94" s="16"/>
    </row>
    <row r="95" spans="2:8" ht="15" customHeight="1" x14ac:dyDescent="0.25">
      <c r="B95">
        <v>87</v>
      </c>
      <c r="C95" s="5" t="s">
        <v>122</v>
      </c>
      <c r="D95" s="19">
        <v>45986</v>
      </c>
      <c r="E95" t="s">
        <v>157</v>
      </c>
      <c r="F95" t="s">
        <v>218</v>
      </c>
      <c r="G95" s="16">
        <v>589</v>
      </c>
      <c r="H95" s="16"/>
    </row>
    <row r="96" spans="2:8" ht="15" customHeight="1" x14ac:dyDescent="0.25">
      <c r="B96">
        <v>88</v>
      </c>
      <c r="C96" s="5" t="s">
        <v>122</v>
      </c>
      <c r="D96" s="19">
        <v>45986</v>
      </c>
      <c r="E96" t="s">
        <v>158</v>
      </c>
      <c r="F96" t="s">
        <v>8</v>
      </c>
      <c r="G96" s="16">
        <v>500</v>
      </c>
      <c r="H96" s="16"/>
    </row>
    <row r="97" spans="2:8" ht="15" customHeight="1" x14ac:dyDescent="0.25">
      <c r="B97">
        <v>89</v>
      </c>
      <c r="C97" s="5" t="s">
        <v>123</v>
      </c>
      <c r="D97" s="19">
        <v>45986</v>
      </c>
      <c r="E97" t="s">
        <v>165</v>
      </c>
      <c r="F97" t="s">
        <v>21</v>
      </c>
      <c r="G97" s="16">
        <v>1257</v>
      </c>
      <c r="H97" s="16"/>
    </row>
    <row r="98" spans="2:8" ht="15" customHeight="1" x14ac:dyDescent="0.25">
      <c r="B98">
        <v>90</v>
      </c>
      <c r="C98" s="5" t="s">
        <v>122</v>
      </c>
      <c r="D98" s="19">
        <v>45987</v>
      </c>
      <c r="E98" t="s">
        <v>148</v>
      </c>
      <c r="F98" t="s">
        <v>21</v>
      </c>
      <c r="G98" s="16">
        <v>87</v>
      </c>
      <c r="H98" s="16"/>
    </row>
    <row r="99" spans="2:8" ht="15" customHeight="1" x14ac:dyDescent="0.25">
      <c r="B99">
        <v>91</v>
      </c>
      <c r="C99" s="5" t="s">
        <v>122</v>
      </c>
      <c r="D99" s="19">
        <v>45987</v>
      </c>
      <c r="E99" t="s">
        <v>167</v>
      </c>
      <c r="F99" t="s">
        <v>21</v>
      </c>
      <c r="G99" s="16">
        <v>54</v>
      </c>
      <c r="H99" s="16"/>
    </row>
    <row r="100" spans="2:8" ht="15" customHeight="1" x14ac:dyDescent="0.25">
      <c r="B100">
        <v>92</v>
      </c>
      <c r="C100" s="5" t="s">
        <v>122</v>
      </c>
      <c r="D100" s="19">
        <v>45987</v>
      </c>
      <c r="E100" t="s">
        <v>168</v>
      </c>
      <c r="F100" t="s">
        <v>23</v>
      </c>
      <c r="G100" s="16">
        <v>20</v>
      </c>
      <c r="H100" s="16"/>
    </row>
    <row r="101" spans="2:8" ht="15" customHeight="1" x14ac:dyDescent="0.25">
      <c r="B101">
        <v>93</v>
      </c>
      <c r="C101" s="5" t="s">
        <v>123</v>
      </c>
      <c r="D101" s="19">
        <v>45988</v>
      </c>
      <c r="E101" t="s">
        <v>6</v>
      </c>
      <c r="F101" t="s">
        <v>6</v>
      </c>
      <c r="G101" s="16">
        <v>212</v>
      </c>
      <c r="H101" s="16"/>
    </row>
    <row r="102" spans="2:8" ht="15" customHeight="1" x14ac:dyDescent="0.25">
      <c r="B102">
        <v>94</v>
      </c>
      <c r="C102" s="5" t="s">
        <v>123</v>
      </c>
      <c r="D102" s="19">
        <v>45988</v>
      </c>
      <c r="E102" t="s">
        <v>124</v>
      </c>
      <c r="F102" t="s">
        <v>36</v>
      </c>
      <c r="G102" s="16">
        <v>5000</v>
      </c>
      <c r="H102" s="16"/>
    </row>
    <row r="103" spans="2:8" ht="15" customHeight="1" x14ac:dyDescent="0.25">
      <c r="B103">
        <v>95</v>
      </c>
      <c r="C103" s="5" t="s">
        <v>122</v>
      </c>
      <c r="D103" s="19">
        <v>45989</v>
      </c>
      <c r="E103" t="s">
        <v>169</v>
      </c>
      <c r="F103" t="s">
        <v>21</v>
      </c>
      <c r="G103" s="16">
        <v>149</v>
      </c>
      <c r="H103" s="16"/>
    </row>
    <row r="104" spans="2:8" ht="15" customHeight="1" x14ac:dyDescent="0.25">
      <c r="B104">
        <v>96</v>
      </c>
      <c r="C104" s="5" t="s">
        <v>123</v>
      </c>
      <c r="D104" s="19">
        <v>45989</v>
      </c>
      <c r="E104" t="s">
        <v>144</v>
      </c>
      <c r="F104" t="s">
        <v>21</v>
      </c>
      <c r="G104" s="16">
        <v>137</v>
      </c>
      <c r="H104" s="16"/>
    </row>
    <row r="105" spans="2:8" ht="15" customHeight="1" x14ac:dyDescent="0.25">
      <c r="B105">
        <v>97</v>
      </c>
      <c r="C105" s="5" t="s">
        <v>123</v>
      </c>
      <c r="D105" s="19">
        <v>45989</v>
      </c>
      <c r="E105" t="s">
        <v>181</v>
      </c>
      <c r="F105" t="s">
        <v>24</v>
      </c>
      <c r="G105" s="16">
        <v>1155</v>
      </c>
      <c r="H105" s="16"/>
    </row>
    <row r="106" spans="2:8" ht="15" customHeight="1" x14ac:dyDescent="0.25">
      <c r="B106">
        <v>98</v>
      </c>
      <c r="C106" s="5" t="s">
        <v>122</v>
      </c>
      <c r="D106" s="19">
        <v>45990</v>
      </c>
      <c r="E106" t="s">
        <v>170</v>
      </c>
      <c r="F106" t="s">
        <v>25</v>
      </c>
      <c r="G106" s="16">
        <v>304</v>
      </c>
      <c r="H106" s="16"/>
    </row>
    <row r="107" spans="2:8" ht="15" customHeight="1" x14ac:dyDescent="0.25">
      <c r="B107">
        <v>99</v>
      </c>
      <c r="C107" s="5" t="s">
        <v>122</v>
      </c>
      <c r="D107" s="19">
        <v>45991</v>
      </c>
      <c r="E107" t="s">
        <v>171</v>
      </c>
      <c r="F107" t="s">
        <v>21</v>
      </c>
      <c r="G107" s="16">
        <v>425</v>
      </c>
      <c r="H107" s="16"/>
    </row>
    <row r="108" spans="2:8" ht="15" customHeight="1" x14ac:dyDescent="0.25">
      <c r="B108">
        <v>100</v>
      </c>
      <c r="C108" s="5" t="s">
        <v>122</v>
      </c>
      <c r="D108" s="19">
        <v>45991</v>
      </c>
      <c r="E108" t="s">
        <v>144</v>
      </c>
      <c r="F108" t="s">
        <v>21</v>
      </c>
      <c r="G108" s="16">
        <v>135</v>
      </c>
      <c r="H108" s="16"/>
    </row>
    <row r="109" spans="2:8" ht="15" customHeight="1" x14ac:dyDescent="0.25">
      <c r="B109">
        <v>101</v>
      </c>
      <c r="C109" s="5" t="s">
        <v>122</v>
      </c>
      <c r="D109" s="19">
        <v>45991</v>
      </c>
      <c r="E109" t="s">
        <v>172</v>
      </c>
      <c r="F109" t="s">
        <v>21</v>
      </c>
      <c r="G109" s="16">
        <v>82</v>
      </c>
      <c r="H109" s="16"/>
    </row>
    <row r="110" spans="2:8" ht="15" customHeight="1" x14ac:dyDescent="0.25">
      <c r="B110">
        <v>102</v>
      </c>
      <c r="C110" s="5" t="s">
        <v>123</v>
      </c>
      <c r="D110" s="19">
        <v>45991</v>
      </c>
      <c r="E110" t="s">
        <v>182</v>
      </c>
      <c r="F110" t="s">
        <v>21</v>
      </c>
      <c r="G110" s="16">
        <v>210</v>
      </c>
      <c r="H110" s="16"/>
    </row>
    <row r="111" spans="2:8" ht="15" customHeight="1" x14ac:dyDescent="0.25">
      <c r="B111">
        <v>103</v>
      </c>
      <c r="C111" s="5" t="s">
        <v>122</v>
      </c>
      <c r="D111" s="19">
        <v>45992</v>
      </c>
      <c r="E111" t="s">
        <v>42</v>
      </c>
      <c r="F111" t="s">
        <v>85</v>
      </c>
      <c r="G111" s="16"/>
      <c r="H111" s="16">
        <v>48134</v>
      </c>
    </row>
    <row r="112" spans="2:8" ht="15" customHeight="1" x14ac:dyDescent="0.25">
      <c r="B112">
        <v>104</v>
      </c>
      <c r="C112" s="5" t="s">
        <v>123</v>
      </c>
      <c r="D112" s="19">
        <v>45992</v>
      </c>
      <c r="E112" t="s">
        <v>42</v>
      </c>
      <c r="F112" t="s">
        <v>86</v>
      </c>
      <c r="G112" s="16"/>
      <c r="H112" s="16">
        <v>61720</v>
      </c>
    </row>
    <row r="113" spans="2:9" ht="15" customHeight="1" x14ac:dyDescent="0.25">
      <c r="B113">
        <v>105</v>
      </c>
      <c r="C113" s="5" t="s">
        <v>123</v>
      </c>
      <c r="D113" s="19">
        <v>45992</v>
      </c>
      <c r="E113" t="s">
        <v>178</v>
      </c>
      <c r="F113" t="s">
        <v>84</v>
      </c>
      <c r="G113" s="16">
        <v>5000</v>
      </c>
      <c r="H113" s="16"/>
    </row>
    <row r="114" spans="2:9" ht="15" customHeight="1" x14ac:dyDescent="0.25">
      <c r="B114">
        <v>106</v>
      </c>
      <c r="C114" s="5" t="s">
        <v>123</v>
      </c>
      <c r="D114" s="19">
        <v>45992</v>
      </c>
      <c r="E114" t="s">
        <v>179</v>
      </c>
      <c r="F114" t="s">
        <v>83</v>
      </c>
      <c r="G114" s="16">
        <v>25000</v>
      </c>
      <c r="H114" s="16"/>
    </row>
    <row r="115" spans="2:9" ht="15" customHeight="1" x14ac:dyDescent="0.25">
      <c r="B115">
        <v>107</v>
      </c>
      <c r="C115" s="5" t="s">
        <v>123</v>
      </c>
      <c r="D115" s="19">
        <v>45992</v>
      </c>
      <c r="E115" t="s">
        <v>173</v>
      </c>
      <c r="F115" t="s">
        <v>7</v>
      </c>
      <c r="G115" s="16">
        <v>5635</v>
      </c>
      <c r="H115" s="16"/>
    </row>
    <row r="116" spans="2:9" ht="15" customHeight="1" x14ac:dyDescent="0.25">
      <c r="B116">
        <v>108</v>
      </c>
      <c r="C116" s="5" t="s">
        <v>123</v>
      </c>
      <c r="D116" s="19">
        <v>45992</v>
      </c>
      <c r="E116" t="s">
        <v>130</v>
      </c>
      <c r="F116" t="s">
        <v>37</v>
      </c>
      <c r="G116" s="16">
        <f>16400-1860</f>
        <v>14540</v>
      </c>
      <c r="H116" s="16"/>
      <c r="I116">
        <f>23000-22035</f>
        <v>965</v>
      </c>
    </row>
    <row r="117" spans="2:9" ht="15" customHeight="1" x14ac:dyDescent="0.25">
      <c r="B117">
        <v>109</v>
      </c>
      <c r="C117" s="5" t="s">
        <v>123</v>
      </c>
      <c r="D117" s="19">
        <v>45992</v>
      </c>
      <c r="E117" t="s">
        <v>180</v>
      </c>
      <c r="F117" t="s">
        <v>7</v>
      </c>
      <c r="G117" s="16">
        <v>3240</v>
      </c>
      <c r="H117" s="16"/>
    </row>
    <row r="118" spans="2:9" ht="15" customHeight="1" x14ac:dyDescent="0.25">
      <c r="B118">
        <v>110</v>
      </c>
      <c r="C118" s="5" t="s">
        <v>123</v>
      </c>
      <c r="D118" s="19">
        <v>45992</v>
      </c>
      <c r="E118" t="s">
        <v>183</v>
      </c>
      <c r="F118" t="s">
        <v>30</v>
      </c>
      <c r="G118" s="16">
        <v>4000</v>
      </c>
      <c r="H118" s="16"/>
    </row>
    <row r="119" spans="2:9" ht="15" customHeight="1" x14ac:dyDescent="0.25">
      <c r="B119">
        <v>111</v>
      </c>
      <c r="C119" s="5" t="s">
        <v>123</v>
      </c>
      <c r="D119" s="19">
        <v>45992</v>
      </c>
      <c r="E119" t="s">
        <v>184</v>
      </c>
      <c r="F119" t="s">
        <v>25</v>
      </c>
      <c r="G119" s="16">
        <v>228</v>
      </c>
      <c r="H119" s="16"/>
    </row>
    <row r="120" spans="2:9" ht="15" customHeight="1" x14ac:dyDescent="0.25">
      <c r="B120">
        <v>112</v>
      </c>
      <c r="C120" s="5" t="s">
        <v>122</v>
      </c>
      <c r="D120" s="19">
        <v>45993</v>
      </c>
      <c r="E120" t="s">
        <v>174</v>
      </c>
      <c r="F120" t="s">
        <v>218</v>
      </c>
      <c r="G120" s="16">
        <v>666</v>
      </c>
      <c r="H120" s="16"/>
    </row>
    <row r="121" spans="2:9" ht="15" customHeight="1" x14ac:dyDescent="0.25">
      <c r="B121">
        <v>113</v>
      </c>
      <c r="C121" s="5" t="s">
        <v>122</v>
      </c>
      <c r="D121" s="19">
        <v>45993</v>
      </c>
      <c r="E121" t="s">
        <v>175</v>
      </c>
      <c r="F121" t="s">
        <v>218</v>
      </c>
      <c r="G121" s="16">
        <v>666</v>
      </c>
      <c r="H121" s="16"/>
    </row>
    <row r="122" spans="2:9" ht="15" customHeight="1" x14ac:dyDescent="0.25">
      <c r="B122">
        <v>114</v>
      </c>
      <c r="C122" s="5" t="s">
        <v>122</v>
      </c>
      <c r="D122" s="19">
        <v>45993</v>
      </c>
      <c r="E122" t="s">
        <v>148</v>
      </c>
      <c r="F122" t="s">
        <v>21</v>
      </c>
      <c r="G122" s="16">
        <v>13</v>
      </c>
      <c r="H122" s="16"/>
    </row>
    <row r="123" spans="2:9" ht="15" customHeight="1" x14ac:dyDescent="0.25">
      <c r="B123">
        <v>115</v>
      </c>
      <c r="C123" s="5" t="s">
        <v>123</v>
      </c>
      <c r="D123" s="19">
        <v>45993</v>
      </c>
      <c r="E123" t="s">
        <v>185</v>
      </c>
      <c r="F123" t="s">
        <v>39</v>
      </c>
      <c r="G123" s="16">
        <v>3000</v>
      </c>
      <c r="H123" s="16"/>
    </row>
    <row r="124" spans="2:9" ht="15" customHeight="1" x14ac:dyDescent="0.25">
      <c r="B124">
        <v>116</v>
      </c>
      <c r="C124" s="5" t="s">
        <v>123</v>
      </c>
      <c r="D124" s="19">
        <v>45993</v>
      </c>
      <c r="E124" t="s">
        <v>186</v>
      </c>
      <c r="F124" t="s">
        <v>21</v>
      </c>
      <c r="G124" s="16">
        <v>80</v>
      </c>
      <c r="H124" s="16"/>
    </row>
    <row r="125" spans="2:9" ht="15" customHeight="1" x14ac:dyDescent="0.25">
      <c r="B125">
        <v>117</v>
      </c>
      <c r="C125" s="5" t="s">
        <v>123</v>
      </c>
      <c r="D125" s="19">
        <v>45993</v>
      </c>
      <c r="E125" t="s">
        <v>136</v>
      </c>
      <c r="F125" t="s">
        <v>21</v>
      </c>
      <c r="G125" s="16">
        <v>356</v>
      </c>
      <c r="H125" s="16"/>
    </row>
    <row r="126" spans="2:9" ht="15" customHeight="1" x14ac:dyDescent="0.25">
      <c r="B126">
        <v>118</v>
      </c>
      <c r="C126" s="5" t="s">
        <v>122</v>
      </c>
      <c r="D126" s="19">
        <v>45994</v>
      </c>
      <c r="E126" t="s">
        <v>148</v>
      </c>
      <c r="F126" t="s">
        <v>21</v>
      </c>
      <c r="G126" s="16">
        <v>27</v>
      </c>
      <c r="H126" s="16"/>
    </row>
    <row r="127" spans="2:9" ht="15" customHeight="1" x14ac:dyDescent="0.25">
      <c r="B127">
        <v>119</v>
      </c>
      <c r="C127" s="5" t="s">
        <v>123</v>
      </c>
      <c r="D127" s="19">
        <v>45996</v>
      </c>
      <c r="E127" t="s">
        <v>187</v>
      </c>
      <c r="F127" t="s">
        <v>18</v>
      </c>
      <c r="G127" s="16">
        <v>199</v>
      </c>
      <c r="H127" s="16"/>
    </row>
    <row r="128" spans="2:9" ht="15" customHeight="1" x14ac:dyDescent="0.25">
      <c r="B128">
        <v>120</v>
      </c>
      <c r="C128" s="5" t="s">
        <v>122</v>
      </c>
      <c r="D128" s="19">
        <v>45998</v>
      </c>
      <c r="E128" t="s">
        <v>136</v>
      </c>
      <c r="F128" t="s">
        <v>21</v>
      </c>
      <c r="G128" s="16">
        <v>1852</v>
      </c>
      <c r="H128" s="16"/>
    </row>
    <row r="129" spans="2:8" ht="15" customHeight="1" x14ac:dyDescent="0.25">
      <c r="B129">
        <v>121</v>
      </c>
      <c r="C129" s="5" t="s">
        <v>122</v>
      </c>
      <c r="D129" s="19">
        <v>45998</v>
      </c>
      <c r="E129" t="s">
        <v>146</v>
      </c>
      <c r="F129" t="s">
        <v>21</v>
      </c>
      <c r="G129" s="16">
        <v>319</v>
      </c>
      <c r="H129" s="16"/>
    </row>
    <row r="130" spans="2:8" ht="15" customHeight="1" x14ac:dyDescent="0.25">
      <c r="B130">
        <v>122</v>
      </c>
      <c r="C130" s="5" t="s">
        <v>122</v>
      </c>
      <c r="D130" s="19">
        <v>45998</v>
      </c>
      <c r="E130" t="s">
        <v>144</v>
      </c>
      <c r="F130" t="s">
        <v>21</v>
      </c>
      <c r="G130" s="16">
        <v>150</v>
      </c>
      <c r="H130" s="16"/>
    </row>
    <row r="131" spans="2:8" ht="15" customHeight="1" x14ac:dyDescent="0.25">
      <c r="B131">
        <v>123</v>
      </c>
      <c r="C131" s="5" t="s">
        <v>122</v>
      </c>
      <c r="D131" s="19">
        <v>45998</v>
      </c>
      <c r="E131" t="s">
        <v>176</v>
      </c>
      <c r="F131" t="s">
        <v>26</v>
      </c>
      <c r="G131" s="16">
        <v>180</v>
      </c>
      <c r="H131" s="16"/>
    </row>
    <row r="132" spans="2:8" ht="15" customHeight="1" x14ac:dyDescent="0.25">
      <c r="B132">
        <v>124</v>
      </c>
      <c r="C132" s="5" t="s">
        <v>122</v>
      </c>
      <c r="D132" s="19">
        <v>45998</v>
      </c>
      <c r="E132" t="s">
        <v>177</v>
      </c>
      <c r="F132" t="s">
        <v>25</v>
      </c>
      <c r="G132" s="16">
        <v>270</v>
      </c>
      <c r="H132" s="16"/>
    </row>
    <row r="133" spans="2:8" ht="15" customHeight="1" x14ac:dyDescent="0.25">
      <c r="B133">
        <v>125</v>
      </c>
      <c r="C133" s="5" t="s">
        <v>123</v>
      </c>
      <c r="D133" s="19">
        <v>45998</v>
      </c>
      <c r="E133" t="s">
        <v>158</v>
      </c>
      <c r="F133" t="s">
        <v>8</v>
      </c>
      <c r="G133" s="16">
        <v>200</v>
      </c>
      <c r="H133" s="16"/>
    </row>
    <row r="134" spans="2:8" ht="15" customHeight="1" x14ac:dyDescent="0.25">
      <c r="B134">
        <v>126</v>
      </c>
      <c r="C134" s="5" t="s">
        <v>123</v>
      </c>
      <c r="D134" s="19">
        <v>45998</v>
      </c>
      <c r="E134" t="s">
        <v>188</v>
      </c>
      <c r="F134" t="s">
        <v>26</v>
      </c>
      <c r="G134" s="16">
        <v>550</v>
      </c>
      <c r="H134" s="16"/>
    </row>
    <row r="135" spans="2:8" ht="15" customHeight="1" x14ac:dyDescent="0.25">
      <c r="B135">
        <v>127</v>
      </c>
      <c r="C135" s="5" t="s">
        <v>123</v>
      </c>
      <c r="D135" s="19">
        <v>45998</v>
      </c>
      <c r="E135" t="s">
        <v>189</v>
      </c>
      <c r="F135" t="s">
        <v>36</v>
      </c>
      <c r="G135" s="16">
        <v>2000</v>
      </c>
      <c r="H135" s="16"/>
    </row>
    <row r="136" spans="2:8" ht="15" customHeight="1" x14ac:dyDescent="0.25">
      <c r="B136">
        <v>128</v>
      </c>
      <c r="C136" s="5" t="s">
        <v>123</v>
      </c>
      <c r="D136" s="19">
        <v>45998</v>
      </c>
      <c r="E136" t="s">
        <v>190</v>
      </c>
      <c r="F136" t="s">
        <v>10</v>
      </c>
      <c r="G136" s="16">
        <v>1860</v>
      </c>
      <c r="H136" s="16"/>
    </row>
    <row r="137" spans="2:8" ht="15" customHeight="1" x14ac:dyDescent="0.25">
      <c r="B137">
        <v>129</v>
      </c>
      <c r="C137" s="5" t="s">
        <v>122</v>
      </c>
      <c r="D137" s="19">
        <v>45999</v>
      </c>
      <c r="E137" t="s">
        <v>169</v>
      </c>
      <c r="F137" t="s">
        <v>21</v>
      </c>
      <c r="G137" s="16">
        <v>50</v>
      </c>
      <c r="H137" s="16"/>
    </row>
    <row r="138" spans="2:8" ht="15" customHeight="1" x14ac:dyDescent="0.25">
      <c r="B138">
        <v>130</v>
      </c>
      <c r="C138" s="5" t="s">
        <v>122</v>
      </c>
      <c r="D138" s="19">
        <v>45999</v>
      </c>
      <c r="E138" t="s">
        <v>191</v>
      </c>
      <c r="F138" t="s">
        <v>21</v>
      </c>
      <c r="G138" s="16">
        <v>90</v>
      </c>
      <c r="H138" s="16"/>
    </row>
    <row r="139" spans="2:8" ht="15" customHeight="1" x14ac:dyDescent="0.25">
      <c r="B139">
        <v>131</v>
      </c>
      <c r="C139" s="5" t="s">
        <v>123</v>
      </c>
      <c r="D139" s="19">
        <v>45999</v>
      </c>
      <c r="E139" t="s">
        <v>141</v>
      </c>
      <c r="F139" t="s">
        <v>21</v>
      </c>
      <c r="G139" s="16">
        <v>190</v>
      </c>
      <c r="H139" s="16"/>
    </row>
    <row r="140" spans="2:8" ht="15" customHeight="1" x14ac:dyDescent="0.25">
      <c r="B140">
        <v>132</v>
      </c>
      <c r="C140" s="5" t="s">
        <v>122</v>
      </c>
      <c r="D140" s="19">
        <v>46000</v>
      </c>
      <c r="E140" t="s">
        <v>192</v>
      </c>
      <c r="F140" t="s">
        <v>21</v>
      </c>
      <c r="G140" s="16">
        <v>90</v>
      </c>
      <c r="H140" s="16"/>
    </row>
    <row r="141" spans="2:8" ht="15" customHeight="1" x14ac:dyDescent="0.25">
      <c r="B141">
        <v>133</v>
      </c>
      <c r="C141" s="5" t="s">
        <v>122</v>
      </c>
      <c r="D141" s="19">
        <v>46000</v>
      </c>
      <c r="E141" t="s">
        <v>197</v>
      </c>
      <c r="F141" t="s">
        <v>21</v>
      </c>
      <c r="G141" s="16">
        <v>200</v>
      </c>
      <c r="H141" s="16"/>
    </row>
    <row r="142" spans="2:8" ht="15" customHeight="1" x14ac:dyDescent="0.25">
      <c r="B142">
        <v>134</v>
      </c>
      <c r="C142" s="5" t="s">
        <v>122</v>
      </c>
      <c r="D142" s="19">
        <v>46000</v>
      </c>
      <c r="E142" t="s">
        <v>215</v>
      </c>
      <c r="F142" t="s">
        <v>37</v>
      </c>
      <c r="G142" s="16">
        <v>199</v>
      </c>
      <c r="H142" s="16"/>
    </row>
    <row r="143" spans="2:8" ht="15" customHeight="1" x14ac:dyDescent="0.25">
      <c r="B143">
        <v>135</v>
      </c>
      <c r="C143" s="5" t="s">
        <v>122</v>
      </c>
      <c r="D143" s="19">
        <v>46001</v>
      </c>
      <c r="E143" t="s">
        <v>193</v>
      </c>
      <c r="F143" t="s">
        <v>218</v>
      </c>
      <c r="G143" s="16">
        <v>352.82</v>
      </c>
      <c r="H143" s="16"/>
    </row>
    <row r="144" spans="2:8" ht="15" customHeight="1" x14ac:dyDescent="0.25">
      <c r="B144">
        <v>136</v>
      </c>
      <c r="C144" s="5" t="s">
        <v>122</v>
      </c>
      <c r="D144" s="19">
        <v>46001</v>
      </c>
      <c r="E144" t="s">
        <v>194</v>
      </c>
      <c r="F144" t="s">
        <v>3</v>
      </c>
      <c r="G144" s="16">
        <v>15500</v>
      </c>
      <c r="H144" s="16"/>
    </row>
    <row r="145" spans="2:8" ht="15" customHeight="1" x14ac:dyDescent="0.25">
      <c r="B145">
        <v>137</v>
      </c>
      <c r="C145" s="5" t="s">
        <v>122</v>
      </c>
      <c r="D145" s="19">
        <v>46001</v>
      </c>
      <c r="E145" t="s">
        <v>195</v>
      </c>
      <c r="F145" t="s">
        <v>6</v>
      </c>
      <c r="G145" s="16">
        <v>837</v>
      </c>
      <c r="H145" s="16"/>
    </row>
    <row r="146" spans="2:8" ht="15" customHeight="1" x14ac:dyDescent="0.25">
      <c r="B146">
        <v>138</v>
      </c>
      <c r="C146" s="5" t="s">
        <v>122</v>
      </c>
      <c r="D146" s="19">
        <v>46001</v>
      </c>
      <c r="E146" t="s">
        <v>196</v>
      </c>
      <c r="F146" t="s">
        <v>81</v>
      </c>
      <c r="G146" s="16">
        <v>250</v>
      </c>
      <c r="H146" s="16"/>
    </row>
    <row r="147" spans="2:8" ht="15" customHeight="1" x14ac:dyDescent="0.25">
      <c r="B147">
        <v>139</v>
      </c>
      <c r="C147" s="5" t="s">
        <v>122</v>
      </c>
      <c r="D147" s="19">
        <v>46003</v>
      </c>
      <c r="E147" t="s">
        <v>198</v>
      </c>
      <c r="F147" t="s">
        <v>24</v>
      </c>
      <c r="G147" s="16">
        <v>921</v>
      </c>
      <c r="H147" s="16"/>
    </row>
    <row r="148" spans="2:8" ht="15" customHeight="1" x14ac:dyDescent="0.25">
      <c r="B148">
        <v>140</v>
      </c>
      <c r="C148" s="5" t="s">
        <v>122</v>
      </c>
      <c r="D148" s="19">
        <v>46003</v>
      </c>
      <c r="E148" t="s">
        <v>199</v>
      </c>
      <c r="F148" t="s">
        <v>10</v>
      </c>
      <c r="G148" s="16">
        <v>420</v>
      </c>
      <c r="H148" s="16"/>
    </row>
    <row r="149" spans="2:8" ht="15" customHeight="1" x14ac:dyDescent="0.25">
      <c r="B149">
        <v>141</v>
      </c>
      <c r="C149" s="5" t="s">
        <v>122</v>
      </c>
      <c r="D149" s="19">
        <v>46003</v>
      </c>
      <c r="E149" t="s">
        <v>158</v>
      </c>
      <c r="F149" t="s">
        <v>8</v>
      </c>
      <c r="G149" s="16">
        <v>200</v>
      </c>
      <c r="H149" s="16"/>
    </row>
    <row r="150" spans="2:8" ht="15" customHeight="1" x14ac:dyDescent="0.25">
      <c r="B150">
        <v>142</v>
      </c>
      <c r="C150" s="5" t="s">
        <v>122</v>
      </c>
      <c r="D150" s="19">
        <v>46004</v>
      </c>
      <c r="E150" t="s">
        <v>138</v>
      </c>
      <c r="F150" t="s">
        <v>23</v>
      </c>
      <c r="G150" s="16">
        <v>50</v>
      </c>
      <c r="H150" s="16"/>
    </row>
    <row r="151" spans="2:8" ht="15" customHeight="1" x14ac:dyDescent="0.25">
      <c r="B151">
        <v>143</v>
      </c>
      <c r="C151" s="5" t="s">
        <v>122</v>
      </c>
      <c r="D151" s="19">
        <v>46005</v>
      </c>
      <c r="E151" t="s">
        <v>147</v>
      </c>
      <c r="F151" t="s">
        <v>25</v>
      </c>
      <c r="G151" s="16">
        <v>25</v>
      </c>
      <c r="H151" s="16"/>
    </row>
    <row r="152" spans="2:8" ht="15" customHeight="1" x14ac:dyDescent="0.25">
      <c r="B152">
        <v>144</v>
      </c>
      <c r="C152" s="5" t="s">
        <v>122</v>
      </c>
      <c r="D152" s="19">
        <v>46005</v>
      </c>
      <c r="E152" t="s">
        <v>214</v>
      </c>
      <c r="F152" t="s">
        <v>36</v>
      </c>
      <c r="G152" s="16">
        <v>37500</v>
      </c>
      <c r="H152" s="16"/>
    </row>
    <row r="153" spans="2:8" ht="15" customHeight="1" x14ac:dyDescent="0.25">
      <c r="B153">
        <v>145</v>
      </c>
      <c r="C153" s="5" t="s">
        <v>122</v>
      </c>
      <c r="D153" s="19">
        <v>46006</v>
      </c>
      <c r="E153" t="s">
        <v>200</v>
      </c>
      <c r="F153" t="s">
        <v>17</v>
      </c>
      <c r="G153" s="16">
        <f>90+180+100</f>
        <v>370</v>
      </c>
      <c r="H153" s="16"/>
    </row>
    <row r="154" spans="2:8" ht="15" customHeight="1" x14ac:dyDescent="0.25">
      <c r="B154">
        <v>146</v>
      </c>
      <c r="C154" s="5" t="s">
        <v>123</v>
      </c>
      <c r="D154" s="19">
        <v>46006</v>
      </c>
      <c r="E154" t="s">
        <v>158</v>
      </c>
      <c r="F154" t="s">
        <v>8</v>
      </c>
      <c r="G154" s="16">
        <v>150</v>
      </c>
      <c r="H154" s="16"/>
    </row>
    <row r="155" spans="2:8" ht="15" customHeight="1" x14ac:dyDescent="0.25">
      <c r="B155">
        <v>147</v>
      </c>
      <c r="C155" s="5" t="s">
        <v>123</v>
      </c>
      <c r="D155" s="19">
        <v>46006</v>
      </c>
      <c r="E155" t="s">
        <v>204</v>
      </c>
      <c r="F155" t="s">
        <v>27</v>
      </c>
      <c r="G155" s="16">
        <v>20</v>
      </c>
      <c r="H155" s="16"/>
    </row>
    <row r="156" spans="2:8" ht="15" customHeight="1" x14ac:dyDescent="0.25">
      <c r="B156">
        <v>148</v>
      </c>
      <c r="C156" s="5" t="s">
        <v>123</v>
      </c>
      <c r="D156" s="19">
        <v>46006</v>
      </c>
      <c r="E156" t="s">
        <v>205</v>
      </c>
      <c r="F156" t="s">
        <v>25</v>
      </c>
      <c r="G156" s="16">
        <v>100</v>
      </c>
      <c r="H156" s="16"/>
    </row>
    <row r="157" spans="2:8" ht="15" customHeight="1" x14ac:dyDescent="0.25">
      <c r="B157">
        <v>149</v>
      </c>
      <c r="C157" s="5" t="s">
        <v>123</v>
      </c>
      <c r="D157" s="19">
        <v>46006</v>
      </c>
      <c r="E157" t="s">
        <v>216</v>
      </c>
      <c r="F157" t="s">
        <v>21</v>
      </c>
      <c r="G157" s="16">
        <v>450</v>
      </c>
      <c r="H157" s="16"/>
    </row>
    <row r="158" spans="2:8" ht="15" customHeight="1" x14ac:dyDescent="0.25">
      <c r="B158">
        <v>150</v>
      </c>
      <c r="C158" s="5" t="s">
        <v>123</v>
      </c>
      <c r="D158" s="19">
        <v>46006</v>
      </c>
      <c r="E158" t="s">
        <v>217</v>
      </c>
      <c r="F158" t="s">
        <v>45</v>
      </c>
      <c r="G158" s="16"/>
      <c r="H158" s="16">
        <v>1000</v>
      </c>
    </row>
    <row r="159" spans="2:8" ht="15" customHeight="1" x14ac:dyDescent="0.25">
      <c r="B159">
        <v>151</v>
      </c>
      <c r="C159" s="5" t="s">
        <v>122</v>
      </c>
      <c r="D159" s="19">
        <v>46007</v>
      </c>
      <c r="E159" t="s">
        <v>201</v>
      </c>
      <c r="F159" t="s">
        <v>10</v>
      </c>
      <c r="G159" s="16">
        <v>76</v>
      </c>
      <c r="H159" s="16"/>
    </row>
    <row r="160" spans="2:8" ht="15" customHeight="1" x14ac:dyDescent="0.25">
      <c r="B160">
        <v>152</v>
      </c>
      <c r="C160" s="5" t="s">
        <v>123</v>
      </c>
      <c r="D160" s="19">
        <v>46007</v>
      </c>
      <c r="E160" t="s">
        <v>206</v>
      </c>
      <c r="F160" t="s">
        <v>10</v>
      </c>
      <c r="G160" s="16">
        <v>400</v>
      </c>
      <c r="H160" s="16"/>
    </row>
    <row r="161" spans="2:8" ht="15" customHeight="1" x14ac:dyDescent="0.25">
      <c r="B161">
        <v>153</v>
      </c>
      <c r="C161" s="5" t="s">
        <v>122</v>
      </c>
      <c r="D161" s="19">
        <v>46008</v>
      </c>
      <c r="E161" t="s">
        <v>202</v>
      </c>
      <c r="F161" t="s">
        <v>21</v>
      </c>
      <c r="G161" s="16">
        <v>51</v>
      </c>
      <c r="H161" s="16"/>
    </row>
    <row r="162" spans="2:8" ht="15" customHeight="1" x14ac:dyDescent="0.25">
      <c r="B162">
        <v>154</v>
      </c>
      <c r="C162" s="5" t="s">
        <v>122</v>
      </c>
      <c r="D162" s="19">
        <v>46008</v>
      </c>
      <c r="E162" t="s">
        <v>203</v>
      </c>
      <c r="F162" t="s">
        <v>25</v>
      </c>
      <c r="G162" s="16">
        <v>50</v>
      </c>
      <c r="H162" s="16"/>
    </row>
    <row r="163" spans="2:8" ht="15" customHeight="1" x14ac:dyDescent="0.25">
      <c r="B163">
        <v>155</v>
      </c>
      <c r="C163" s="5" t="s">
        <v>123</v>
      </c>
      <c r="D163" s="19">
        <v>46008</v>
      </c>
      <c r="E163" t="s">
        <v>207</v>
      </c>
      <c r="F163" t="s">
        <v>25</v>
      </c>
      <c r="G163" s="16">
        <v>606</v>
      </c>
      <c r="H163" s="16"/>
    </row>
    <row r="164" spans="2:8" ht="15" customHeight="1" x14ac:dyDescent="0.25">
      <c r="B164">
        <v>156</v>
      </c>
      <c r="C164" s="5" t="s">
        <v>122</v>
      </c>
      <c r="D164" s="19">
        <v>46009</v>
      </c>
      <c r="E164" t="s">
        <v>169</v>
      </c>
      <c r="F164" t="s">
        <v>21</v>
      </c>
      <c r="G164" s="16">
        <v>20</v>
      </c>
      <c r="H164" s="16"/>
    </row>
    <row r="165" spans="2:8" ht="15" customHeight="1" x14ac:dyDescent="0.25">
      <c r="B165">
        <v>157</v>
      </c>
      <c r="C165" s="5" t="s">
        <v>122</v>
      </c>
      <c r="D165" s="19">
        <v>46010</v>
      </c>
      <c r="E165" t="s">
        <v>158</v>
      </c>
      <c r="F165" t="s">
        <v>8</v>
      </c>
      <c r="G165" s="16">
        <v>200</v>
      </c>
      <c r="H165" s="16"/>
    </row>
    <row r="166" spans="2:8" ht="15" customHeight="1" x14ac:dyDescent="0.25">
      <c r="B166">
        <v>158</v>
      </c>
      <c r="C166" s="5" t="s">
        <v>122</v>
      </c>
      <c r="D166" s="19">
        <v>46010</v>
      </c>
      <c r="E166" t="s">
        <v>208</v>
      </c>
      <c r="F166" t="s">
        <v>25</v>
      </c>
      <c r="G166" s="16">
        <v>120</v>
      </c>
      <c r="H166" s="16"/>
    </row>
    <row r="167" spans="2:8" ht="15" customHeight="1" x14ac:dyDescent="0.25">
      <c r="B167">
        <v>159</v>
      </c>
      <c r="C167" s="5" t="s">
        <v>123</v>
      </c>
      <c r="D167" s="19">
        <v>46010</v>
      </c>
      <c r="E167" t="s">
        <v>169</v>
      </c>
      <c r="F167" t="s">
        <v>21</v>
      </c>
      <c r="G167" s="16">
        <v>33</v>
      </c>
      <c r="H167" s="16"/>
    </row>
    <row r="168" spans="2:8" ht="15" customHeight="1" x14ac:dyDescent="0.25">
      <c r="B168">
        <v>160</v>
      </c>
      <c r="C168" s="5" t="s">
        <v>123</v>
      </c>
      <c r="D168" s="19">
        <v>46011</v>
      </c>
      <c r="E168" t="s">
        <v>211</v>
      </c>
      <c r="F168" t="s">
        <v>21</v>
      </c>
      <c r="G168" s="16">
        <v>300</v>
      </c>
      <c r="H168" s="16"/>
    </row>
    <row r="169" spans="2:8" ht="15" customHeight="1" x14ac:dyDescent="0.25">
      <c r="B169">
        <v>161</v>
      </c>
      <c r="C169" s="5" t="s">
        <v>122</v>
      </c>
      <c r="D169" s="19">
        <v>46012</v>
      </c>
      <c r="E169" t="s">
        <v>144</v>
      </c>
      <c r="F169" t="s">
        <v>21</v>
      </c>
      <c r="G169" s="16">
        <v>145</v>
      </c>
      <c r="H169" s="16"/>
    </row>
    <row r="170" spans="2:8" ht="15" customHeight="1" x14ac:dyDescent="0.25">
      <c r="B170">
        <v>162</v>
      </c>
      <c r="C170" s="5" t="s">
        <v>123</v>
      </c>
      <c r="D170" s="19">
        <v>46012</v>
      </c>
      <c r="E170" t="s">
        <v>210</v>
      </c>
      <c r="F170" t="s">
        <v>21</v>
      </c>
      <c r="G170" s="16">
        <v>146</v>
      </c>
      <c r="H170" s="16"/>
    </row>
    <row r="171" spans="2:8" ht="15" customHeight="1" x14ac:dyDescent="0.25">
      <c r="B171">
        <v>163</v>
      </c>
      <c r="C171" s="5" t="s">
        <v>123</v>
      </c>
      <c r="D171" s="19">
        <v>46012</v>
      </c>
      <c r="E171" t="s">
        <v>212</v>
      </c>
      <c r="F171" t="s">
        <v>10</v>
      </c>
      <c r="G171" s="16">
        <v>702</v>
      </c>
      <c r="H171" s="16"/>
    </row>
    <row r="172" spans="2:8" ht="15" customHeight="1" x14ac:dyDescent="0.25">
      <c r="B172">
        <v>164</v>
      </c>
      <c r="C172" s="5" t="s">
        <v>123</v>
      </c>
      <c r="D172" s="19">
        <v>46012</v>
      </c>
      <c r="E172" t="s">
        <v>213</v>
      </c>
      <c r="F172" t="s">
        <v>10</v>
      </c>
      <c r="G172" s="16">
        <v>752</v>
      </c>
      <c r="H172" s="16"/>
    </row>
    <row r="173" spans="2:8" ht="15" customHeight="1" x14ac:dyDescent="0.25">
      <c r="B173">
        <v>165</v>
      </c>
      <c r="C173" s="5" t="s">
        <v>123</v>
      </c>
      <c r="D173" s="19">
        <v>46013</v>
      </c>
      <c r="E173" t="s">
        <v>209</v>
      </c>
      <c r="F173" t="s">
        <v>25</v>
      </c>
      <c r="G173" s="16">
        <v>289</v>
      </c>
      <c r="H173" s="16"/>
    </row>
    <row r="174" spans="2:8" ht="15" customHeight="1" x14ac:dyDescent="0.25">
      <c r="B174">
        <v>166</v>
      </c>
      <c r="C174" s="5" t="s">
        <v>122</v>
      </c>
      <c r="D174" s="19">
        <v>46014</v>
      </c>
      <c r="E174" t="s">
        <v>147</v>
      </c>
      <c r="F174" t="s">
        <v>25</v>
      </c>
      <c r="G174" s="16">
        <v>40</v>
      </c>
      <c r="H174" s="16"/>
    </row>
    <row r="175" spans="2:8" ht="15" customHeight="1" x14ac:dyDescent="0.25">
      <c r="B175">
        <v>167</v>
      </c>
      <c r="C175" s="5" t="s">
        <v>122</v>
      </c>
      <c r="D175" s="19">
        <v>46015</v>
      </c>
      <c r="E175" t="s">
        <v>157</v>
      </c>
      <c r="F175" t="s">
        <v>218</v>
      </c>
      <c r="G175" s="16">
        <v>589</v>
      </c>
      <c r="H175" s="16"/>
    </row>
    <row r="176" spans="2:8" ht="15" customHeight="1" x14ac:dyDescent="0.25">
      <c r="B176">
        <v>168</v>
      </c>
      <c r="C176" s="5" t="s">
        <v>122</v>
      </c>
      <c r="D176" s="19">
        <v>46015</v>
      </c>
      <c r="E176" t="s">
        <v>219</v>
      </c>
      <c r="F176" t="s">
        <v>25</v>
      </c>
      <c r="G176" s="16">
        <v>244</v>
      </c>
      <c r="H176" s="16"/>
    </row>
    <row r="177" spans="2:8" ht="15" customHeight="1" x14ac:dyDescent="0.25">
      <c r="B177">
        <v>169</v>
      </c>
      <c r="C177" s="5" t="s">
        <v>122</v>
      </c>
      <c r="D177" s="19">
        <v>46015</v>
      </c>
      <c r="E177" t="s">
        <v>148</v>
      </c>
      <c r="F177" t="s">
        <v>21</v>
      </c>
      <c r="G177" s="16">
        <v>40</v>
      </c>
      <c r="H177" s="16"/>
    </row>
    <row r="178" spans="2:8" ht="15" customHeight="1" x14ac:dyDescent="0.25">
      <c r="B178">
        <v>170</v>
      </c>
      <c r="C178" s="5" t="s">
        <v>122</v>
      </c>
      <c r="D178" s="19">
        <v>46016</v>
      </c>
      <c r="E178" t="s">
        <v>8</v>
      </c>
      <c r="F178" t="s">
        <v>8</v>
      </c>
      <c r="G178" s="16">
        <v>200</v>
      </c>
      <c r="H178" s="16"/>
    </row>
    <row r="179" spans="2:8" ht="15" customHeight="1" x14ac:dyDescent="0.25">
      <c r="B179">
        <v>171</v>
      </c>
      <c r="C179" s="5" t="s">
        <v>122</v>
      </c>
      <c r="D179" s="19">
        <v>46016</v>
      </c>
      <c r="E179" t="s">
        <v>220</v>
      </c>
      <c r="F179" t="s">
        <v>25</v>
      </c>
      <c r="G179" s="16">
        <v>190</v>
      </c>
      <c r="H179" s="16"/>
    </row>
    <row r="180" spans="2:8" ht="15" customHeight="1" x14ac:dyDescent="0.25">
      <c r="B180">
        <v>172</v>
      </c>
      <c r="C180" s="5" t="s">
        <v>122</v>
      </c>
      <c r="D180" s="19">
        <v>46016</v>
      </c>
      <c r="E180" t="s">
        <v>221</v>
      </c>
      <c r="F180" t="s">
        <v>21</v>
      </c>
      <c r="G180" s="16">
        <v>90</v>
      </c>
      <c r="H180" s="16"/>
    </row>
    <row r="181" spans="2:8" ht="15" customHeight="1" x14ac:dyDescent="0.25">
      <c r="B181">
        <v>173</v>
      </c>
      <c r="C181" s="5" t="s">
        <v>123</v>
      </c>
      <c r="D181" s="19">
        <v>46016</v>
      </c>
      <c r="E181" t="s">
        <v>144</v>
      </c>
      <c r="F181" t="s">
        <v>21</v>
      </c>
      <c r="G181" s="16">
        <v>310</v>
      </c>
      <c r="H181" s="16"/>
    </row>
    <row r="182" spans="2:8" ht="15" customHeight="1" x14ac:dyDescent="0.25">
      <c r="B182">
        <v>174</v>
      </c>
      <c r="C182" s="5" t="s">
        <v>123</v>
      </c>
      <c r="D182" s="19">
        <v>46016</v>
      </c>
      <c r="E182" t="s">
        <v>222</v>
      </c>
      <c r="F182" t="s">
        <v>21</v>
      </c>
      <c r="G182" s="16">
        <v>13</v>
      </c>
      <c r="H182" s="16"/>
    </row>
    <row r="183" spans="2:8" ht="15" customHeight="1" x14ac:dyDescent="0.25">
      <c r="B183">
        <v>175</v>
      </c>
      <c r="C183" s="5" t="s">
        <v>123</v>
      </c>
      <c r="D183" s="19">
        <v>46016</v>
      </c>
      <c r="E183" t="s">
        <v>223</v>
      </c>
      <c r="F183" t="s">
        <v>21</v>
      </c>
      <c r="G183" s="16">
        <v>277</v>
      </c>
      <c r="H183" s="16"/>
    </row>
    <row r="184" spans="2:8" ht="15" customHeight="1" x14ac:dyDescent="0.25">
      <c r="B184">
        <v>176</v>
      </c>
      <c r="C184" s="5" t="s">
        <v>123</v>
      </c>
      <c r="D184" s="19">
        <v>46016</v>
      </c>
      <c r="E184" t="s">
        <v>202</v>
      </c>
      <c r="F184" t="s">
        <v>21</v>
      </c>
      <c r="G184" s="16">
        <v>100</v>
      </c>
      <c r="H184" s="16"/>
    </row>
    <row r="185" spans="2:8" ht="15" customHeight="1" x14ac:dyDescent="0.25">
      <c r="B185">
        <v>177</v>
      </c>
      <c r="C185" s="5" t="s">
        <v>122</v>
      </c>
      <c r="D185" s="19">
        <v>46017</v>
      </c>
      <c r="E185" t="s">
        <v>224</v>
      </c>
      <c r="F185" t="s">
        <v>21</v>
      </c>
      <c r="G185" s="16">
        <v>133</v>
      </c>
      <c r="H185" s="16"/>
    </row>
    <row r="186" spans="2:8" ht="15" customHeight="1" x14ac:dyDescent="0.25">
      <c r="B186">
        <v>178</v>
      </c>
      <c r="C186" s="5" t="s">
        <v>122</v>
      </c>
      <c r="D186" s="19">
        <v>46017</v>
      </c>
      <c r="E186" t="s">
        <v>225</v>
      </c>
      <c r="F186" t="s">
        <v>21</v>
      </c>
      <c r="G186" s="16">
        <v>89</v>
      </c>
      <c r="H186" s="16"/>
    </row>
    <row r="187" spans="2:8" ht="15" customHeight="1" x14ac:dyDescent="0.25">
      <c r="B187">
        <v>179</v>
      </c>
      <c r="C187" s="5" t="s">
        <v>122</v>
      </c>
      <c r="D187" s="19">
        <v>46018</v>
      </c>
      <c r="E187" t="s">
        <v>226</v>
      </c>
      <c r="F187" t="s">
        <v>21</v>
      </c>
      <c r="G187" s="16">
        <v>834</v>
      </c>
      <c r="H187" s="16"/>
    </row>
    <row r="188" spans="2:8" ht="15" customHeight="1" x14ac:dyDescent="0.25">
      <c r="B188">
        <v>180</v>
      </c>
      <c r="C188" s="5" t="s">
        <v>122</v>
      </c>
      <c r="D188" s="19">
        <v>46019</v>
      </c>
      <c r="E188" t="s">
        <v>227</v>
      </c>
      <c r="F188" t="s">
        <v>25</v>
      </c>
      <c r="G188" s="16">
        <v>100</v>
      </c>
      <c r="H188" s="16"/>
    </row>
    <row r="189" spans="2:8" ht="15" customHeight="1" x14ac:dyDescent="0.25">
      <c r="B189">
        <v>181</v>
      </c>
      <c r="C189" s="5" t="s">
        <v>122</v>
      </c>
      <c r="D189" s="19">
        <v>46019</v>
      </c>
      <c r="E189" t="s">
        <v>228</v>
      </c>
      <c r="F189" t="s">
        <v>25</v>
      </c>
      <c r="G189" s="16">
        <v>1221</v>
      </c>
      <c r="H189" s="16"/>
    </row>
    <row r="190" spans="2:8" ht="15" customHeight="1" x14ac:dyDescent="0.25">
      <c r="B190">
        <v>182</v>
      </c>
      <c r="C190" s="5" t="s">
        <v>122</v>
      </c>
      <c r="D190" s="19">
        <v>46020</v>
      </c>
      <c r="E190" t="s">
        <v>158</v>
      </c>
      <c r="F190" t="s">
        <v>8</v>
      </c>
      <c r="G190" s="16">
        <v>200</v>
      </c>
      <c r="H190" s="16"/>
    </row>
    <row r="191" spans="2:8" ht="15" customHeight="1" x14ac:dyDescent="0.25">
      <c r="B191">
        <v>183</v>
      </c>
      <c r="C191" s="5" t="s">
        <v>122</v>
      </c>
      <c r="D191" s="19">
        <v>46020</v>
      </c>
      <c r="E191" t="s">
        <v>222</v>
      </c>
      <c r="F191" t="s">
        <v>21</v>
      </c>
      <c r="G191" s="16">
        <v>13</v>
      </c>
      <c r="H191" s="16"/>
    </row>
    <row r="192" spans="2:8" ht="15" customHeight="1" x14ac:dyDescent="0.25">
      <c r="B192">
        <v>184</v>
      </c>
      <c r="C192" s="5" t="s">
        <v>122</v>
      </c>
      <c r="D192" s="19">
        <v>46021</v>
      </c>
      <c r="E192" t="s">
        <v>229</v>
      </c>
      <c r="F192" t="s">
        <v>24</v>
      </c>
      <c r="G192" s="16">
        <v>460</v>
      </c>
      <c r="H192" s="16"/>
    </row>
    <row r="193" spans="2:8" ht="15" customHeight="1" x14ac:dyDescent="0.25">
      <c r="B193">
        <v>185</v>
      </c>
      <c r="C193" s="5" t="s">
        <v>122</v>
      </c>
      <c r="D193" s="19">
        <v>46022</v>
      </c>
      <c r="E193" t="s">
        <v>232</v>
      </c>
      <c r="F193" t="s">
        <v>45</v>
      </c>
      <c r="G193" s="16"/>
      <c r="H193" s="16">
        <v>3260</v>
      </c>
    </row>
    <row r="194" spans="2:8" ht="15" customHeight="1" x14ac:dyDescent="0.25">
      <c r="B194">
        <v>186</v>
      </c>
      <c r="C194" s="5" t="s">
        <v>123</v>
      </c>
      <c r="D194" s="19">
        <v>46022</v>
      </c>
      <c r="E194" t="s">
        <v>147</v>
      </c>
      <c r="F194" t="s">
        <v>25</v>
      </c>
      <c r="G194" s="16">
        <v>30</v>
      </c>
      <c r="H194" s="16"/>
    </row>
    <row r="195" spans="2:8" ht="15" customHeight="1" x14ac:dyDescent="0.25">
      <c r="B195">
        <v>187</v>
      </c>
      <c r="C195" s="5" t="s">
        <v>122</v>
      </c>
      <c r="D195" s="19">
        <v>46023</v>
      </c>
      <c r="E195" t="s">
        <v>244</v>
      </c>
      <c r="F195" t="s">
        <v>10</v>
      </c>
      <c r="G195" s="16">
        <v>286</v>
      </c>
      <c r="H195" s="16"/>
    </row>
    <row r="196" spans="2:8" ht="15" customHeight="1" x14ac:dyDescent="0.25">
      <c r="B196">
        <v>188</v>
      </c>
      <c r="C196" s="5" t="s">
        <v>122</v>
      </c>
      <c r="D196" s="19">
        <v>46023</v>
      </c>
      <c r="E196" t="s">
        <v>245</v>
      </c>
      <c r="F196" t="s">
        <v>10</v>
      </c>
      <c r="G196" s="16">
        <v>270</v>
      </c>
      <c r="H196" s="16"/>
    </row>
    <row r="197" spans="2:8" ht="15" customHeight="1" x14ac:dyDescent="0.25">
      <c r="B197">
        <v>189</v>
      </c>
      <c r="C197" s="5" t="s">
        <v>122</v>
      </c>
      <c r="D197" s="19">
        <v>46023</v>
      </c>
      <c r="E197" t="s">
        <v>227</v>
      </c>
      <c r="F197" t="s">
        <v>25</v>
      </c>
      <c r="G197" s="16">
        <v>120</v>
      </c>
      <c r="H197" s="16"/>
    </row>
    <row r="198" spans="2:8" ht="15" customHeight="1" x14ac:dyDescent="0.25">
      <c r="B198">
        <v>190</v>
      </c>
      <c r="C198" s="5" t="s">
        <v>123</v>
      </c>
      <c r="D198" s="19">
        <v>46023</v>
      </c>
      <c r="E198" t="s">
        <v>130</v>
      </c>
      <c r="F198" t="s">
        <v>37</v>
      </c>
      <c r="G198" s="16">
        <v>38000</v>
      </c>
      <c r="H198" s="16"/>
    </row>
    <row r="199" spans="2:8" ht="15" customHeight="1" x14ac:dyDescent="0.25">
      <c r="B199">
        <v>191</v>
      </c>
      <c r="C199" s="5" t="s">
        <v>123</v>
      </c>
      <c r="D199" s="19">
        <v>46023</v>
      </c>
      <c r="E199" t="s">
        <v>203</v>
      </c>
      <c r="F199" t="s">
        <v>25</v>
      </c>
      <c r="G199" s="16">
        <v>350</v>
      </c>
      <c r="H199" s="16"/>
    </row>
    <row r="200" spans="2:8" ht="15" customHeight="1" x14ac:dyDescent="0.25">
      <c r="B200">
        <v>192</v>
      </c>
      <c r="C200" s="5" t="s">
        <v>123</v>
      </c>
      <c r="D200" s="19">
        <v>46023</v>
      </c>
      <c r="E200" t="s">
        <v>230</v>
      </c>
      <c r="F200" t="s">
        <v>23</v>
      </c>
      <c r="G200" s="16">
        <v>776</v>
      </c>
      <c r="H200" s="16"/>
    </row>
    <row r="201" spans="2:8" ht="15" customHeight="1" x14ac:dyDescent="0.25">
      <c r="B201">
        <v>193</v>
      </c>
      <c r="C201" s="5" t="s">
        <v>123</v>
      </c>
      <c r="D201" s="19">
        <v>46023</v>
      </c>
      <c r="E201" t="s">
        <v>42</v>
      </c>
      <c r="F201" t="s">
        <v>86</v>
      </c>
      <c r="G201" s="16"/>
      <c r="H201" s="16">
        <v>43720</v>
      </c>
    </row>
    <row r="202" spans="2:8" ht="15" customHeight="1" x14ac:dyDescent="0.25">
      <c r="B202">
        <v>194</v>
      </c>
      <c r="C202" s="5" t="s">
        <v>123</v>
      </c>
      <c r="D202" s="19">
        <v>46023</v>
      </c>
      <c r="E202" t="s">
        <v>231</v>
      </c>
      <c r="F202" t="s">
        <v>10</v>
      </c>
      <c r="G202" s="16">
        <v>747</v>
      </c>
      <c r="H202" s="16"/>
    </row>
    <row r="203" spans="2:8" ht="15" customHeight="1" x14ac:dyDescent="0.25">
      <c r="B203">
        <v>195</v>
      </c>
      <c r="C203" s="5" t="s">
        <v>123</v>
      </c>
      <c r="D203" s="19">
        <v>46023</v>
      </c>
      <c r="E203" t="s">
        <v>144</v>
      </c>
      <c r="F203" t="s">
        <v>21</v>
      </c>
      <c r="G203" s="16">
        <v>160</v>
      </c>
      <c r="H203" s="16"/>
    </row>
    <row r="204" spans="2:8" ht="15" customHeight="1" x14ac:dyDescent="0.25">
      <c r="B204">
        <v>196</v>
      </c>
      <c r="C204" s="5" t="s">
        <v>122</v>
      </c>
      <c r="D204" s="19">
        <v>46024</v>
      </c>
      <c r="E204" t="s">
        <v>221</v>
      </c>
      <c r="F204" t="s">
        <v>21</v>
      </c>
      <c r="G204" s="16">
        <v>225</v>
      </c>
      <c r="H204" s="16"/>
    </row>
    <row r="205" spans="2:8" ht="15" customHeight="1" x14ac:dyDescent="0.25">
      <c r="B205">
        <v>197</v>
      </c>
      <c r="C205" s="5" t="s">
        <v>122</v>
      </c>
      <c r="D205" s="19">
        <v>46025</v>
      </c>
      <c r="E205" t="s">
        <v>8</v>
      </c>
      <c r="F205" t="s">
        <v>8</v>
      </c>
      <c r="G205" s="16">
        <v>300</v>
      </c>
      <c r="H205" s="16"/>
    </row>
    <row r="206" spans="2:8" ht="15" customHeight="1" x14ac:dyDescent="0.25">
      <c r="B206">
        <v>198</v>
      </c>
      <c r="C206" s="5" t="s">
        <v>123</v>
      </c>
      <c r="D206" s="19">
        <v>46025</v>
      </c>
      <c r="E206" t="s">
        <v>147</v>
      </c>
      <c r="F206" t="s">
        <v>25</v>
      </c>
      <c r="G206" s="16">
        <v>20</v>
      </c>
      <c r="H206" s="16"/>
    </row>
    <row r="207" spans="2:8" ht="15" customHeight="1" x14ac:dyDescent="0.25">
      <c r="B207">
        <v>199</v>
      </c>
      <c r="C207" s="5" t="s">
        <v>122</v>
      </c>
      <c r="D207" s="19">
        <v>46026</v>
      </c>
      <c r="E207" t="s">
        <v>234</v>
      </c>
      <c r="F207" t="s">
        <v>10</v>
      </c>
      <c r="G207" s="16">
        <v>20</v>
      </c>
      <c r="H207" s="16"/>
    </row>
    <row r="208" spans="2:8" ht="15" customHeight="1" x14ac:dyDescent="0.25">
      <c r="B208">
        <v>200</v>
      </c>
      <c r="C208" s="5" t="s">
        <v>122</v>
      </c>
      <c r="D208" s="19">
        <v>46026</v>
      </c>
      <c r="E208" t="s">
        <v>235</v>
      </c>
      <c r="F208" t="s">
        <v>10</v>
      </c>
      <c r="G208" s="16">
        <v>420</v>
      </c>
      <c r="H208" s="16"/>
    </row>
    <row r="209" spans="2:8" ht="15" customHeight="1" x14ac:dyDescent="0.25">
      <c r="B209">
        <v>201</v>
      </c>
      <c r="C209" s="5" t="s">
        <v>122</v>
      </c>
      <c r="D209" s="19">
        <v>46026</v>
      </c>
      <c r="E209" t="s">
        <v>236</v>
      </c>
      <c r="F209" t="s">
        <v>25</v>
      </c>
      <c r="G209" s="16">
        <v>210</v>
      </c>
      <c r="H209" s="16"/>
    </row>
    <row r="210" spans="2:8" ht="15" customHeight="1" x14ac:dyDescent="0.25">
      <c r="B210">
        <v>202</v>
      </c>
      <c r="C210" s="5" t="s">
        <v>122</v>
      </c>
      <c r="D210" s="19">
        <v>46026</v>
      </c>
      <c r="E210" t="s">
        <v>237</v>
      </c>
      <c r="F210" t="s">
        <v>10</v>
      </c>
      <c r="G210" s="16">
        <v>90</v>
      </c>
      <c r="H210" s="16"/>
    </row>
    <row r="211" spans="2:8" ht="15" customHeight="1" x14ac:dyDescent="0.25">
      <c r="B211">
        <v>203</v>
      </c>
      <c r="C211" s="5" t="s">
        <v>122</v>
      </c>
      <c r="D211" s="19">
        <v>46026</v>
      </c>
      <c r="E211" t="s">
        <v>238</v>
      </c>
      <c r="F211" t="s">
        <v>10</v>
      </c>
      <c r="G211" s="16">
        <v>100</v>
      </c>
      <c r="H211" s="16"/>
    </row>
    <row r="212" spans="2:8" ht="15" customHeight="1" x14ac:dyDescent="0.25">
      <c r="B212">
        <v>204</v>
      </c>
      <c r="C212" s="5" t="s">
        <v>122</v>
      </c>
      <c r="D212" s="19">
        <v>46026</v>
      </c>
      <c r="E212" t="s">
        <v>239</v>
      </c>
      <c r="F212" t="s">
        <v>10</v>
      </c>
      <c r="G212" s="16">
        <v>50</v>
      </c>
      <c r="H212" s="16"/>
    </row>
    <row r="213" spans="2:8" ht="15" customHeight="1" x14ac:dyDescent="0.25">
      <c r="B213">
        <v>205</v>
      </c>
      <c r="C213" s="5" t="s">
        <v>123</v>
      </c>
      <c r="D213" s="19">
        <v>46026</v>
      </c>
      <c r="E213" t="s">
        <v>240</v>
      </c>
      <c r="F213" t="s">
        <v>10</v>
      </c>
      <c r="G213" s="16">
        <v>220</v>
      </c>
      <c r="H213" s="16"/>
    </row>
    <row r="214" spans="2:8" ht="15" customHeight="1" x14ac:dyDescent="0.25">
      <c r="B214">
        <v>206</v>
      </c>
      <c r="C214" s="5" t="s">
        <v>123</v>
      </c>
      <c r="D214" s="19">
        <v>46026</v>
      </c>
      <c r="E214" t="s">
        <v>241</v>
      </c>
      <c r="F214" t="s">
        <v>25</v>
      </c>
      <c r="G214" s="16">
        <v>316</v>
      </c>
      <c r="H214" s="16"/>
    </row>
    <row r="215" spans="2:8" ht="15" customHeight="1" x14ac:dyDescent="0.25">
      <c r="B215">
        <v>207</v>
      </c>
      <c r="C215" s="5" t="s">
        <v>122</v>
      </c>
      <c r="D215" s="19">
        <v>46027</v>
      </c>
      <c r="E215" t="s">
        <v>233</v>
      </c>
      <c r="F215" t="s">
        <v>14</v>
      </c>
      <c r="G215" s="16">
        <v>45</v>
      </c>
      <c r="H215" s="16"/>
    </row>
    <row r="216" spans="2:8" ht="15" customHeight="1" x14ac:dyDescent="0.25">
      <c r="B216">
        <v>208</v>
      </c>
      <c r="C216" s="5" t="s">
        <v>122</v>
      </c>
      <c r="D216" s="19">
        <v>46028</v>
      </c>
      <c r="E216" t="s">
        <v>136</v>
      </c>
      <c r="F216" t="s">
        <v>21</v>
      </c>
      <c r="G216" s="16">
        <v>960</v>
      </c>
      <c r="H216" s="16"/>
    </row>
    <row r="217" spans="2:8" ht="15" customHeight="1" x14ac:dyDescent="0.25">
      <c r="B217">
        <v>209</v>
      </c>
      <c r="C217" s="5" t="s">
        <v>122</v>
      </c>
      <c r="D217" s="19">
        <v>46028</v>
      </c>
      <c r="E217" t="s">
        <v>211</v>
      </c>
      <c r="F217" t="s">
        <v>21</v>
      </c>
      <c r="G217" s="16">
        <v>300</v>
      </c>
      <c r="H217" s="16"/>
    </row>
    <row r="218" spans="2:8" ht="15" customHeight="1" x14ac:dyDescent="0.25">
      <c r="B218">
        <v>210</v>
      </c>
      <c r="C218" s="5" t="s">
        <v>122</v>
      </c>
      <c r="D218" s="19">
        <v>46028</v>
      </c>
      <c r="E218" t="s">
        <v>221</v>
      </c>
      <c r="F218" t="s">
        <v>21</v>
      </c>
      <c r="G218" s="16">
        <v>210</v>
      </c>
      <c r="H218" s="16"/>
    </row>
    <row r="219" spans="2:8" ht="15" customHeight="1" x14ac:dyDescent="0.25">
      <c r="B219">
        <v>211</v>
      </c>
      <c r="C219" s="5" t="s">
        <v>123</v>
      </c>
      <c r="D219" s="19">
        <v>46028</v>
      </c>
      <c r="E219" t="s">
        <v>242</v>
      </c>
      <c r="F219" t="s">
        <v>21</v>
      </c>
      <c r="G219" s="16">
        <v>105</v>
      </c>
      <c r="H219" s="16"/>
    </row>
    <row r="220" spans="2:8" ht="15" customHeight="1" x14ac:dyDescent="0.25">
      <c r="B220">
        <v>212</v>
      </c>
      <c r="C220" s="5" t="s">
        <v>123</v>
      </c>
      <c r="D220" s="19">
        <v>46028</v>
      </c>
      <c r="E220" t="s">
        <v>243</v>
      </c>
      <c r="F220" t="s">
        <v>21</v>
      </c>
      <c r="G220" s="16">
        <v>122</v>
      </c>
      <c r="H220" s="16"/>
    </row>
    <row r="221" spans="2:8" ht="15" customHeight="1" x14ac:dyDescent="0.25">
      <c r="B221">
        <v>213</v>
      </c>
      <c r="C221" s="5" t="s">
        <v>122</v>
      </c>
      <c r="D221" s="19">
        <v>46029</v>
      </c>
      <c r="E221" t="s">
        <v>158</v>
      </c>
      <c r="F221" t="s">
        <v>8</v>
      </c>
      <c r="G221" s="16">
        <v>300</v>
      </c>
      <c r="H221" s="16"/>
    </row>
    <row r="222" spans="2:8" ht="15" customHeight="1" x14ac:dyDescent="0.25">
      <c r="B222">
        <v>214</v>
      </c>
      <c r="C222" s="5" t="s">
        <v>123</v>
      </c>
      <c r="D222" s="19">
        <v>46029</v>
      </c>
      <c r="E222" t="s">
        <v>265</v>
      </c>
      <c r="F222" t="s">
        <v>10</v>
      </c>
      <c r="G222" s="16"/>
      <c r="H222" s="16">
        <v>570</v>
      </c>
    </row>
    <row r="223" spans="2:8" ht="15" customHeight="1" x14ac:dyDescent="0.25">
      <c r="B223">
        <v>215</v>
      </c>
      <c r="C223" s="5" t="s">
        <v>123</v>
      </c>
      <c r="D223" s="19">
        <v>46029</v>
      </c>
      <c r="E223" t="s">
        <v>266</v>
      </c>
      <c r="F223" t="s">
        <v>10</v>
      </c>
      <c r="G223" s="16"/>
      <c r="H223" s="16">
        <v>620</v>
      </c>
    </row>
    <row r="224" spans="2:8" ht="15" customHeight="1" x14ac:dyDescent="0.25">
      <c r="B224">
        <v>216</v>
      </c>
      <c r="C224" s="5" t="s">
        <v>122</v>
      </c>
      <c r="D224" s="19">
        <v>46030</v>
      </c>
      <c r="E224" t="s">
        <v>246</v>
      </c>
      <c r="F224" t="s">
        <v>10</v>
      </c>
      <c r="G224" s="16">
        <v>930</v>
      </c>
      <c r="H224" s="16"/>
    </row>
    <row r="225" spans="2:8" ht="15" customHeight="1" x14ac:dyDescent="0.25">
      <c r="B225">
        <v>217</v>
      </c>
      <c r="C225" s="5" t="s">
        <v>122</v>
      </c>
      <c r="D225" s="19">
        <v>46030</v>
      </c>
      <c r="E225" t="s">
        <v>247</v>
      </c>
      <c r="F225" t="s">
        <v>10</v>
      </c>
      <c r="G225" s="16">
        <v>930</v>
      </c>
      <c r="H225" s="16"/>
    </row>
    <row r="226" spans="2:8" ht="15" customHeight="1" x14ac:dyDescent="0.25">
      <c r="B226">
        <v>218</v>
      </c>
      <c r="C226" s="5" t="s">
        <v>122</v>
      </c>
      <c r="D226" s="19">
        <v>46030</v>
      </c>
      <c r="E226" t="s">
        <v>207</v>
      </c>
      <c r="F226" t="s">
        <v>25</v>
      </c>
      <c r="G226" s="16">
        <v>762.3</v>
      </c>
      <c r="H226" s="16"/>
    </row>
    <row r="227" spans="2:8" ht="15" customHeight="1" x14ac:dyDescent="0.25">
      <c r="B227">
        <v>219</v>
      </c>
      <c r="C227" s="5" t="s">
        <v>122</v>
      </c>
      <c r="D227" s="19">
        <v>46030</v>
      </c>
      <c r="E227" t="s">
        <v>253</v>
      </c>
      <c r="F227" t="s">
        <v>39</v>
      </c>
      <c r="G227" s="16">
        <v>2000</v>
      </c>
      <c r="H227" s="16"/>
    </row>
    <row r="228" spans="2:8" ht="15" customHeight="1" x14ac:dyDescent="0.25">
      <c r="B228">
        <v>220</v>
      </c>
      <c r="C228" s="5" t="s">
        <v>122</v>
      </c>
      <c r="D228" s="19">
        <v>46030</v>
      </c>
      <c r="E228" t="s">
        <v>42</v>
      </c>
      <c r="F228" t="s">
        <v>85</v>
      </c>
      <c r="G228" s="16"/>
      <c r="H228" s="16">
        <v>48187</v>
      </c>
    </row>
    <row r="229" spans="2:8" ht="15" customHeight="1" x14ac:dyDescent="0.25">
      <c r="B229">
        <v>221</v>
      </c>
      <c r="C229" s="5" t="s">
        <v>123</v>
      </c>
      <c r="D229" s="19">
        <v>46030</v>
      </c>
      <c r="E229" t="s">
        <v>258</v>
      </c>
      <c r="F229" t="s">
        <v>7</v>
      </c>
      <c r="G229" s="16">
        <v>469</v>
      </c>
      <c r="H229" s="16"/>
    </row>
    <row r="230" spans="2:8" ht="15" customHeight="1" x14ac:dyDescent="0.25">
      <c r="B230">
        <v>222</v>
      </c>
      <c r="C230" s="5" t="s">
        <v>122</v>
      </c>
      <c r="D230" s="19">
        <v>46031</v>
      </c>
      <c r="E230" t="s">
        <v>248</v>
      </c>
      <c r="F230" t="s">
        <v>21</v>
      </c>
      <c r="G230" s="16">
        <v>147</v>
      </c>
      <c r="H230" s="16"/>
    </row>
    <row r="231" spans="2:8" ht="15" customHeight="1" x14ac:dyDescent="0.25">
      <c r="B231">
        <v>223</v>
      </c>
      <c r="C231" s="5" t="s">
        <v>122</v>
      </c>
      <c r="D231" s="19">
        <v>46031</v>
      </c>
      <c r="E231" t="s">
        <v>249</v>
      </c>
      <c r="F231" t="s">
        <v>218</v>
      </c>
      <c r="G231" s="16">
        <v>353</v>
      </c>
      <c r="H231" s="16"/>
    </row>
    <row r="232" spans="2:8" ht="15" customHeight="1" x14ac:dyDescent="0.25">
      <c r="B232">
        <v>224</v>
      </c>
      <c r="C232" s="5" t="s">
        <v>122</v>
      </c>
      <c r="D232" s="19">
        <v>46032</v>
      </c>
      <c r="E232" t="s">
        <v>250</v>
      </c>
      <c r="F232" t="s">
        <v>21</v>
      </c>
      <c r="G232" s="16">
        <v>50</v>
      </c>
      <c r="H232" s="16"/>
    </row>
    <row r="233" spans="2:8" ht="15" customHeight="1" x14ac:dyDescent="0.25">
      <c r="B233">
        <v>225</v>
      </c>
      <c r="C233" s="5" t="s">
        <v>122</v>
      </c>
      <c r="D233" s="19">
        <v>46032</v>
      </c>
      <c r="E233" t="s">
        <v>227</v>
      </c>
      <c r="F233" t="s">
        <v>25</v>
      </c>
      <c r="G233" s="16">
        <v>100</v>
      </c>
      <c r="H233" s="16"/>
    </row>
    <row r="234" spans="2:8" ht="15" customHeight="1" x14ac:dyDescent="0.25">
      <c r="B234">
        <v>226</v>
      </c>
      <c r="C234" s="5" t="s">
        <v>122</v>
      </c>
      <c r="D234" s="19">
        <v>46032</v>
      </c>
      <c r="E234" t="s">
        <v>251</v>
      </c>
      <c r="F234" t="s">
        <v>26</v>
      </c>
      <c r="G234" s="16">
        <v>150</v>
      </c>
      <c r="H234" s="16"/>
    </row>
    <row r="235" spans="2:8" ht="15" customHeight="1" x14ac:dyDescent="0.25">
      <c r="B235">
        <v>227</v>
      </c>
      <c r="C235" s="5" t="s">
        <v>122</v>
      </c>
      <c r="D235" s="19">
        <v>46032</v>
      </c>
      <c r="E235" t="s">
        <v>255</v>
      </c>
      <c r="F235" t="s">
        <v>24</v>
      </c>
      <c r="G235" s="16">
        <v>600</v>
      </c>
      <c r="H235" s="16"/>
    </row>
    <row r="236" spans="2:8" ht="15" customHeight="1" x14ac:dyDescent="0.25">
      <c r="B236">
        <v>228</v>
      </c>
      <c r="C236" s="5" t="s">
        <v>122</v>
      </c>
      <c r="D236" s="19">
        <v>46032</v>
      </c>
      <c r="E236" t="s">
        <v>256</v>
      </c>
      <c r="F236" t="s">
        <v>83</v>
      </c>
      <c r="G236" s="16">
        <v>5000</v>
      </c>
      <c r="H236" s="16"/>
    </row>
    <row r="237" spans="2:8" ht="15" customHeight="1" x14ac:dyDescent="0.25">
      <c r="B237">
        <v>229</v>
      </c>
      <c r="C237" s="5" t="s">
        <v>122</v>
      </c>
      <c r="D237" s="19">
        <v>46032</v>
      </c>
      <c r="E237" t="s">
        <v>257</v>
      </c>
      <c r="F237" t="s">
        <v>24</v>
      </c>
      <c r="G237" s="16">
        <v>600</v>
      </c>
      <c r="H237" s="16"/>
    </row>
    <row r="238" spans="2:8" ht="15" customHeight="1" x14ac:dyDescent="0.25">
      <c r="B238">
        <v>230</v>
      </c>
      <c r="C238" s="5" t="s">
        <v>122</v>
      </c>
      <c r="D238" s="19">
        <v>46032</v>
      </c>
      <c r="E238" t="s">
        <v>159</v>
      </c>
      <c r="F238" t="s">
        <v>25</v>
      </c>
      <c r="G238" s="16">
        <v>400</v>
      </c>
      <c r="H238" s="16"/>
    </row>
    <row r="239" spans="2:8" ht="15" customHeight="1" x14ac:dyDescent="0.25">
      <c r="B239">
        <v>231</v>
      </c>
      <c r="C239" s="5" t="s">
        <v>122</v>
      </c>
      <c r="D239" s="19">
        <v>46032</v>
      </c>
      <c r="E239" t="s">
        <v>261</v>
      </c>
      <c r="F239" t="s">
        <v>3</v>
      </c>
      <c r="G239" s="16">
        <v>16000</v>
      </c>
      <c r="H239" s="16"/>
    </row>
    <row r="240" spans="2:8" ht="15" customHeight="1" x14ac:dyDescent="0.25">
      <c r="B240">
        <v>232</v>
      </c>
      <c r="C240" s="5" t="s">
        <v>122</v>
      </c>
      <c r="D240" s="19">
        <v>46033</v>
      </c>
      <c r="E240" t="s">
        <v>144</v>
      </c>
      <c r="F240" t="s">
        <v>21</v>
      </c>
      <c r="G240" s="16">
        <v>135</v>
      </c>
      <c r="H240" s="16"/>
    </row>
    <row r="241" spans="2:8" ht="15" customHeight="1" x14ac:dyDescent="0.25">
      <c r="B241">
        <v>233</v>
      </c>
      <c r="C241" s="5" t="s">
        <v>122</v>
      </c>
      <c r="D241" s="19">
        <v>46033</v>
      </c>
      <c r="E241" t="s">
        <v>128</v>
      </c>
      <c r="F241" t="s">
        <v>25</v>
      </c>
      <c r="G241" s="16">
        <v>217</v>
      </c>
      <c r="H241" s="16"/>
    </row>
    <row r="242" spans="2:8" ht="15" customHeight="1" x14ac:dyDescent="0.25">
      <c r="B242">
        <v>234</v>
      </c>
      <c r="C242" s="5" t="s">
        <v>123</v>
      </c>
      <c r="D242" s="19">
        <v>46033</v>
      </c>
      <c r="E242" t="s">
        <v>259</v>
      </c>
      <c r="F242" t="s">
        <v>10</v>
      </c>
      <c r="G242" s="16">
        <v>30</v>
      </c>
      <c r="H242" s="16"/>
    </row>
    <row r="243" spans="2:8" ht="15" customHeight="1" x14ac:dyDescent="0.25">
      <c r="B243">
        <v>235</v>
      </c>
      <c r="C243" s="5" t="s">
        <v>122</v>
      </c>
      <c r="D243" s="19">
        <v>46034</v>
      </c>
      <c r="E243" t="s">
        <v>252</v>
      </c>
      <c r="F243" t="s">
        <v>26</v>
      </c>
      <c r="G243" s="16">
        <v>40</v>
      </c>
      <c r="H243" s="16"/>
    </row>
    <row r="244" spans="2:8" ht="15" customHeight="1" x14ac:dyDescent="0.25">
      <c r="B244">
        <v>236</v>
      </c>
      <c r="C244" s="5" t="s">
        <v>122</v>
      </c>
      <c r="D244" s="19">
        <v>46034</v>
      </c>
      <c r="E244" t="s">
        <v>254</v>
      </c>
      <c r="F244" t="s">
        <v>7</v>
      </c>
      <c r="G244" s="16">
        <v>1474</v>
      </c>
      <c r="H244" s="16"/>
    </row>
    <row r="245" spans="2:8" ht="15" customHeight="1" x14ac:dyDescent="0.25">
      <c r="B245">
        <v>237</v>
      </c>
      <c r="C245" s="5" t="s">
        <v>122</v>
      </c>
      <c r="D245" s="19">
        <v>46034</v>
      </c>
      <c r="E245" t="s">
        <v>264</v>
      </c>
      <c r="F245" t="s">
        <v>10</v>
      </c>
      <c r="G245" s="16">
        <v>2888</v>
      </c>
      <c r="H245" s="16"/>
    </row>
    <row r="246" spans="2:8" ht="15" customHeight="1" x14ac:dyDescent="0.25">
      <c r="B246">
        <v>238</v>
      </c>
      <c r="C246" s="5" t="s">
        <v>123</v>
      </c>
      <c r="D246" s="19">
        <v>46034</v>
      </c>
      <c r="E246" t="s">
        <v>260</v>
      </c>
      <c r="F246" t="s">
        <v>26</v>
      </c>
      <c r="G246" s="16">
        <v>50</v>
      </c>
      <c r="H246" s="16"/>
    </row>
    <row r="247" spans="2:8" ht="15" customHeight="1" x14ac:dyDescent="0.25">
      <c r="B247">
        <v>239</v>
      </c>
      <c r="C247" s="5" t="s">
        <v>123</v>
      </c>
      <c r="D247" s="19">
        <v>46034</v>
      </c>
      <c r="E247" t="s">
        <v>135</v>
      </c>
      <c r="F247" t="s">
        <v>25</v>
      </c>
      <c r="G247" s="16">
        <v>80</v>
      </c>
      <c r="H247" s="16"/>
    </row>
    <row r="248" spans="2:8" ht="15" customHeight="1" x14ac:dyDescent="0.25">
      <c r="B248">
        <v>240</v>
      </c>
      <c r="C248" s="5" t="s">
        <v>122</v>
      </c>
      <c r="D248" s="19">
        <v>46035</v>
      </c>
      <c r="E248" t="s">
        <v>263</v>
      </c>
      <c r="F248" t="s">
        <v>24</v>
      </c>
      <c r="G248" s="16">
        <v>816</v>
      </c>
      <c r="H248" s="16"/>
    </row>
    <row r="249" spans="2:8" ht="15" customHeight="1" x14ac:dyDescent="0.25">
      <c r="B249">
        <v>241</v>
      </c>
      <c r="C249" s="5" t="s">
        <v>122</v>
      </c>
      <c r="D249" s="19">
        <v>46036</v>
      </c>
      <c r="E249" t="s">
        <v>262</v>
      </c>
      <c r="F249" t="s">
        <v>10</v>
      </c>
      <c r="G249" s="16">
        <v>1418</v>
      </c>
      <c r="H249" s="16"/>
    </row>
    <row r="250" spans="2:8" ht="15" customHeight="1" x14ac:dyDescent="0.25">
      <c r="B250">
        <v>242</v>
      </c>
      <c r="C250" s="5" t="s">
        <v>122</v>
      </c>
      <c r="D250" s="19">
        <v>46036</v>
      </c>
      <c r="E250" t="s">
        <v>267</v>
      </c>
      <c r="F250" t="s">
        <v>10</v>
      </c>
      <c r="G250" s="16">
        <v>320</v>
      </c>
      <c r="H250" s="16"/>
    </row>
    <row r="251" spans="2:8" ht="15" customHeight="1" x14ac:dyDescent="0.25">
      <c r="B251">
        <v>243</v>
      </c>
      <c r="C251" s="5" t="s">
        <v>122</v>
      </c>
      <c r="D251" s="19">
        <v>46036</v>
      </c>
      <c r="E251" t="s">
        <v>147</v>
      </c>
      <c r="F251" t="s">
        <v>25</v>
      </c>
      <c r="G251" s="16">
        <v>15</v>
      </c>
      <c r="H251" s="16"/>
    </row>
    <row r="252" spans="2:8" ht="15" customHeight="1" x14ac:dyDescent="0.25">
      <c r="B252">
        <v>244</v>
      </c>
      <c r="C252" s="5" t="s">
        <v>122</v>
      </c>
      <c r="D252" s="19">
        <v>46037</v>
      </c>
      <c r="E252" t="s">
        <v>268</v>
      </c>
      <c r="F252" t="s">
        <v>21</v>
      </c>
      <c r="G252" s="16">
        <v>323</v>
      </c>
      <c r="H252" s="16"/>
    </row>
    <row r="253" spans="2:8" ht="15" customHeight="1" x14ac:dyDescent="0.25">
      <c r="B253">
        <v>245</v>
      </c>
      <c r="C253" s="5" t="s">
        <v>122</v>
      </c>
      <c r="D253" s="19">
        <v>46037</v>
      </c>
      <c r="E253" t="s">
        <v>162</v>
      </c>
      <c r="F253" t="s">
        <v>25</v>
      </c>
      <c r="G253" s="16">
        <v>165</v>
      </c>
      <c r="H253" s="16"/>
    </row>
    <row r="254" spans="2:8" ht="15" customHeight="1" x14ac:dyDescent="0.25">
      <c r="B254">
        <v>246</v>
      </c>
      <c r="C254" s="5" t="s">
        <v>122</v>
      </c>
      <c r="D254" s="19">
        <v>46037</v>
      </c>
      <c r="E254" t="s">
        <v>275</v>
      </c>
      <c r="F254" t="s">
        <v>218</v>
      </c>
      <c r="G254" s="16">
        <v>157</v>
      </c>
      <c r="H254" s="16"/>
    </row>
    <row r="255" spans="2:8" ht="15" customHeight="1" x14ac:dyDescent="0.25">
      <c r="B255">
        <v>247</v>
      </c>
      <c r="C255" s="5" t="s">
        <v>122</v>
      </c>
      <c r="D255" s="19">
        <v>46037</v>
      </c>
      <c r="E255" t="s">
        <v>195</v>
      </c>
      <c r="F255" t="s">
        <v>6</v>
      </c>
      <c r="G255" s="16">
        <v>52</v>
      </c>
      <c r="H255" s="16"/>
    </row>
    <row r="256" spans="2:8" ht="15" customHeight="1" x14ac:dyDescent="0.25">
      <c r="B256">
        <v>248</v>
      </c>
      <c r="C256" s="5" t="s">
        <v>122</v>
      </c>
      <c r="D256" s="19">
        <v>46038</v>
      </c>
      <c r="E256" t="s">
        <v>269</v>
      </c>
      <c r="F256" t="s">
        <v>218</v>
      </c>
      <c r="G256" s="16">
        <v>101</v>
      </c>
      <c r="H256" s="16"/>
    </row>
    <row r="257" spans="2:8" ht="15" customHeight="1" x14ac:dyDescent="0.25">
      <c r="B257">
        <v>249</v>
      </c>
      <c r="C257" s="5" t="s">
        <v>122</v>
      </c>
      <c r="D257" s="19">
        <v>46038</v>
      </c>
      <c r="E257" t="s">
        <v>268</v>
      </c>
      <c r="F257" t="s">
        <v>21</v>
      </c>
      <c r="G257" s="16">
        <v>95</v>
      </c>
      <c r="H257" s="16"/>
    </row>
    <row r="258" spans="2:8" ht="15" customHeight="1" x14ac:dyDescent="0.25">
      <c r="B258">
        <v>250</v>
      </c>
      <c r="C258" s="5" t="s">
        <v>122</v>
      </c>
      <c r="D258" s="19">
        <v>46039</v>
      </c>
      <c r="E258" t="s">
        <v>146</v>
      </c>
      <c r="F258" t="s">
        <v>25</v>
      </c>
      <c r="G258" s="16">
        <v>170</v>
      </c>
      <c r="H258" s="16"/>
    </row>
    <row r="259" spans="2:8" ht="15" customHeight="1" x14ac:dyDescent="0.25">
      <c r="B259">
        <v>251</v>
      </c>
      <c r="C259" s="5" t="s">
        <v>122</v>
      </c>
      <c r="D259" s="19">
        <v>46040</v>
      </c>
      <c r="E259" t="s">
        <v>274</v>
      </c>
      <c r="F259" t="s">
        <v>15</v>
      </c>
      <c r="G259" s="16">
        <v>300</v>
      </c>
      <c r="H259" s="16"/>
    </row>
    <row r="260" spans="2:8" ht="15" customHeight="1" x14ac:dyDescent="0.25">
      <c r="B260">
        <v>252</v>
      </c>
      <c r="C260" s="5" t="s">
        <v>122</v>
      </c>
      <c r="D260" s="19">
        <v>46041</v>
      </c>
      <c r="E260" t="s">
        <v>243</v>
      </c>
      <c r="F260" t="s">
        <v>21</v>
      </c>
      <c r="G260" s="16">
        <v>20</v>
      </c>
      <c r="H260" s="16"/>
    </row>
    <row r="261" spans="2:8" ht="15" customHeight="1" x14ac:dyDescent="0.25">
      <c r="B261">
        <v>253</v>
      </c>
      <c r="C261" s="5" t="s">
        <v>122</v>
      </c>
      <c r="D261" s="19">
        <v>46042</v>
      </c>
      <c r="E261" t="s">
        <v>144</v>
      </c>
      <c r="F261" t="s">
        <v>21</v>
      </c>
      <c r="G261" s="16">
        <v>180</v>
      </c>
      <c r="H261" s="16"/>
    </row>
    <row r="262" spans="2:8" ht="15" customHeight="1" x14ac:dyDescent="0.25">
      <c r="B262">
        <v>254</v>
      </c>
      <c r="C262" s="5" t="s">
        <v>122</v>
      </c>
      <c r="D262" s="19">
        <v>46043</v>
      </c>
      <c r="E262" t="s">
        <v>276</v>
      </c>
      <c r="F262" t="s">
        <v>7</v>
      </c>
      <c r="G262" s="16">
        <v>300</v>
      </c>
      <c r="H262" s="16"/>
    </row>
    <row r="263" spans="2:8" ht="15" customHeight="1" x14ac:dyDescent="0.25">
      <c r="B263">
        <v>255</v>
      </c>
      <c r="C263" s="5" t="s">
        <v>122</v>
      </c>
      <c r="D263" s="19">
        <v>46043</v>
      </c>
      <c r="E263" t="s">
        <v>277</v>
      </c>
      <c r="F263" t="s">
        <v>25</v>
      </c>
      <c r="G263" s="16">
        <v>170</v>
      </c>
      <c r="H263" s="16"/>
    </row>
    <row r="264" spans="2:8" ht="15" customHeight="1" x14ac:dyDescent="0.25">
      <c r="B264">
        <v>256</v>
      </c>
      <c r="C264" s="5" t="s">
        <v>122</v>
      </c>
      <c r="D264" s="19">
        <v>46043</v>
      </c>
      <c r="E264" t="s">
        <v>207</v>
      </c>
      <c r="F264" t="s">
        <v>25</v>
      </c>
      <c r="G264" s="16">
        <v>419</v>
      </c>
      <c r="H264" s="16"/>
    </row>
    <row r="265" spans="2:8" ht="15" customHeight="1" x14ac:dyDescent="0.25">
      <c r="B265">
        <v>257</v>
      </c>
      <c r="C265" s="5" t="s">
        <v>123</v>
      </c>
      <c r="D265" s="19">
        <v>46043</v>
      </c>
      <c r="E265" t="s">
        <v>286</v>
      </c>
      <c r="F265" t="s">
        <v>218</v>
      </c>
      <c r="G265" s="16">
        <v>1500</v>
      </c>
      <c r="H265" s="16"/>
    </row>
    <row r="266" spans="2:8" ht="15" customHeight="1" x14ac:dyDescent="0.25">
      <c r="B266">
        <v>258</v>
      </c>
      <c r="C266" s="5" t="s">
        <v>123</v>
      </c>
      <c r="D266" s="19">
        <v>46043</v>
      </c>
      <c r="E266" t="s">
        <v>287</v>
      </c>
      <c r="F266" t="s">
        <v>40</v>
      </c>
      <c r="G266" s="16">
        <v>1500</v>
      </c>
      <c r="H266" s="16"/>
    </row>
    <row r="267" spans="2:8" ht="15" customHeight="1" x14ac:dyDescent="0.25">
      <c r="B267">
        <v>259</v>
      </c>
      <c r="C267" s="5" t="s">
        <v>122</v>
      </c>
      <c r="D267" s="19">
        <v>46045</v>
      </c>
      <c r="E267" t="s">
        <v>270</v>
      </c>
      <c r="F267" t="s">
        <v>10</v>
      </c>
      <c r="G267" s="16">
        <v>440</v>
      </c>
      <c r="H267" s="16"/>
    </row>
    <row r="268" spans="2:8" ht="15" customHeight="1" x14ac:dyDescent="0.25">
      <c r="B268">
        <v>260</v>
      </c>
      <c r="C268" s="5" t="s">
        <v>123</v>
      </c>
      <c r="D268" s="19">
        <v>46045</v>
      </c>
      <c r="E268" t="s">
        <v>288</v>
      </c>
      <c r="F268" t="s">
        <v>25</v>
      </c>
      <c r="G268" s="16">
        <v>50</v>
      </c>
      <c r="H268" s="16"/>
    </row>
    <row r="269" spans="2:8" ht="15" customHeight="1" x14ac:dyDescent="0.25">
      <c r="B269">
        <v>261</v>
      </c>
      <c r="C269" s="5" t="s">
        <v>122</v>
      </c>
      <c r="D269" s="19">
        <v>46046</v>
      </c>
      <c r="E269" t="s">
        <v>271</v>
      </c>
      <c r="F269" t="s">
        <v>23</v>
      </c>
      <c r="G269" s="16">
        <v>267</v>
      </c>
      <c r="H269" s="16"/>
    </row>
    <row r="270" spans="2:8" ht="15" customHeight="1" x14ac:dyDescent="0.25">
      <c r="B270">
        <v>262</v>
      </c>
      <c r="C270" s="5" t="s">
        <v>123</v>
      </c>
      <c r="D270" s="19">
        <v>46046</v>
      </c>
      <c r="E270" t="s">
        <v>203</v>
      </c>
      <c r="F270" t="s">
        <v>25</v>
      </c>
      <c r="G270" s="16">
        <v>500</v>
      </c>
      <c r="H270" s="16"/>
    </row>
    <row r="271" spans="2:8" ht="15" customHeight="1" x14ac:dyDescent="0.25">
      <c r="B271">
        <v>263</v>
      </c>
      <c r="C271" s="5" t="s">
        <v>123</v>
      </c>
      <c r="D271" s="19">
        <v>46046</v>
      </c>
      <c r="E271" t="s">
        <v>283</v>
      </c>
      <c r="F271" t="s">
        <v>21</v>
      </c>
      <c r="G271" s="16">
        <v>500</v>
      </c>
      <c r="H271" s="16"/>
    </row>
    <row r="272" spans="2:8" ht="15" customHeight="1" x14ac:dyDescent="0.25">
      <c r="B272">
        <v>264</v>
      </c>
      <c r="C272" s="5" t="s">
        <v>123</v>
      </c>
      <c r="D272" s="19">
        <v>46046</v>
      </c>
      <c r="E272" t="s">
        <v>284</v>
      </c>
      <c r="F272" t="s">
        <v>21</v>
      </c>
      <c r="G272" s="16">
        <v>1000</v>
      </c>
      <c r="H272" s="16"/>
    </row>
    <row r="273" spans="2:8" ht="15" customHeight="1" x14ac:dyDescent="0.25">
      <c r="B273">
        <v>265</v>
      </c>
      <c r="C273" s="5" t="s">
        <v>123</v>
      </c>
      <c r="D273" s="19">
        <v>46046</v>
      </c>
      <c r="E273" t="s">
        <v>285</v>
      </c>
      <c r="F273" t="s">
        <v>7</v>
      </c>
      <c r="G273" s="16">
        <v>1000</v>
      </c>
      <c r="H273" s="16"/>
    </row>
    <row r="274" spans="2:8" ht="15" customHeight="1" x14ac:dyDescent="0.25">
      <c r="B274">
        <v>266</v>
      </c>
      <c r="C274" s="5" t="s">
        <v>123</v>
      </c>
      <c r="D274" s="19">
        <v>46046</v>
      </c>
      <c r="E274" t="s">
        <v>285</v>
      </c>
      <c r="F274" t="s">
        <v>10</v>
      </c>
      <c r="G274" s="16">
        <v>500</v>
      </c>
      <c r="H274" s="16"/>
    </row>
    <row r="275" spans="2:8" ht="15" customHeight="1" x14ac:dyDescent="0.25">
      <c r="B275">
        <v>267</v>
      </c>
      <c r="C275" s="5" t="s">
        <v>123</v>
      </c>
      <c r="D275" s="19">
        <v>46046</v>
      </c>
      <c r="E275" t="s">
        <v>288</v>
      </c>
      <c r="F275" t="s">
        <v>25</v>
      </c>
      <c r="G275" s="16">
        <v>25</v>
      </c>
      <c r="H275" s="16"/>
    </row>
    <row r="276" spans="2:8" ht="15" customHeight="1" x14ac:dyDescent="0.25">
      <c r="B276">
        <v>268</v>
      </c>
      <c r="C276" s="5" t="s">
        <v>122</v>
      </c>
      <c r="D276" s="19">
        <v>46047</v>
      </c>
      <c r="E276" t="s">
        <v>278</v>
      </c>
      <c r="F276" t="s">
        <v>7</v>
      </c>
      <c r="G276" s="16">
        <v>230</v>
      </c>
      <c r="H276" s="16"/>
    </row>
    <row r="277" spans="2:8" ht="15" customHeight="1" x14ac:dyDescent="0.25">
      <c r="B277">
        <v>269</v>
      </c>
      <c r="C277" s="5" t="s">
        <v>122</v>
      </c>
      <c r="D277" s="19">
        <v>46048</v>
      </c>
      <c r="E277" t="s">
        <v>159</v>
      </c>
      <c r="F277" t="s">
        <v>25</v>
      </c>
      <c r="G277" s="16">
        <v>151</v>
      </c>
      <c r="H277" s="16"/>
    </row>
    <row r="278" spans="2:8" ht="15" customHeight="1" x14ac:dyDescent="0.25">
      <c r="B278">
        <v>270</v>
      </c>
      <c r="C278" s="5" t="s">
        <v>122</v>
      </c>
      <c r="D278" s="19">
        <v>46048</v>
      </c>
      <c r="E278" t="s">
        <v>279</v>
      </c>
      <c r="F278" t="s">
        <v>25</v>
      </c>
      <c r="G278" s="16">
        <v>490</v>
      </c>
      <c r="H278" s="16"/>
    </row>
    <row r="279" spans="2:8" ht="15" customHeight="1" x14ac:dyDescent="0.25">
      <c r="B279">
        <v>271</v>
      </c>
      <c r="C279" s="5" t="s">
        <v>122</v>
      </c>
      <c r="D279" s="19">
        <v>46049</v>
      </c>
      <c r="E279" t="s">
        <v>243</v>
      </c>
      <c r="F279" t="s">
        <v>21</v>
      </c>
      <c r="G279" s="16">
        <v>55</v>
      </c>
      <c r="H279" s="16"/>
    </row>
    <row r="280" spans="2:8" ht="15" customHeight="1" x14ac:dyDescent="0.25">
      <c r="B280">
        <v>272</v>
      </c>
      <c r="C280" s="5" t="s">
        <v>122</v>
      </c>
      <c r="D280" s="19">
        <v>46049</v>
      </c>
      <c r="E280" t="s">
        <v>270</v>
      </c>
      <c r="F280" t="s">
        <v>10</v>
      </c>
      <c r="G280" s="16">
        <v>430</v>
      </c>
      <c r="H280" s="16"/>
    </row>
    <row r="281" spans="2:8" ht="15" customHeight="1" x14ac:dyDescent="0.25">
      <c r="B281">
        <v>273</v>
      </c>
      <c r="C281" s="5" t="s">
        <v>122</v>
      </c>
      <c r="D281" s="19">
        <v>46049</v>
      </c>
      <c r="E281" t="s">
        <v>280</v>
      </c>
      <c r="F281" t="s">
        <v>218</v>
      </c>
      <c r="G281" s="16">
        <v>989.7</v>
      </c>
      <c r="H281" s="16"/>
    </row>
    <row r="282" spans="2:8" ht="15" customHeight="1" x14ac:dyDescent="0.25">
      <c r="B282">
        <v>274</v>
      </c>
      <c r="C282" s="5" t="s">
        <v>122</v>
      </c>
      <c r="D282" s="19">
        <v>46049</v>
      </c>
      <c r="E282" t="s">
        <v>281</v>
      </c>
      <c r="F282" t="s">
        <v>25</v>
      </c>
      <c r="G282" s="16">
        <v>519</v>
      </c>
      <c r="H282" s="16"/>
    </row>
    <row r="283" spans="2:8" ht="15" customHeight="1" x14ac:dyDescent="0.25">
      <c r="B283">
        <v>275</v>
      </c>
      <c r="C283" s="5" t="s">
        <v>122</v>
      </c>
      <c r="D283" s="19">
        <v>46049</v>
      </c>
      <c r="E283" t="s">
        <v>144</v>
      </c>
      <c r="F283" t="s">
        <v>21</v>
      </c>
      <c r="G283" s="16">
        <v>340</v>
      </c>
      <c r="H283" s="16"/>
    </row>
    <row r="284" spans="2:8" ht="15" customHeight="1" x14ac:dyDescent="0.25">
      <c r="B284">
        <v>276</v>
      </c>
      <c r="C284" s="5" t="s">
        <v>122</v>
      </c>
      <c r="D284" s="19">
        <v>46049</v>
      </c>
      <c r="E284" t="s">
        <v>282</v>
      </c>
      <c r="F284" t="s">
        <v>7</v>
      </c>
      <c r="G284" s="16">
        <v>160</v>
      </c>
      <c r="H284" s="16"/>
    </row>
    <row r="285" spans="2:8" ht="15" customHeight="1" x14ac:dyDescent="0.25">
      <c r="B285">
        <v>277</v>
      </c>
      <c r="C285" s="5" t="s">
        <v>122</v>
      </c>
      <c r="D285" s="19">
        <v>46049</v>
      </c>
      <c r="E285" t="s">
        <v>135</v>
      </c>
      <c r="F285" t="s">
        <v>25</v>
      </c>
      <c r="G285" s="16">
        <v>60</v>
      </c>
      <c r="H285" s="16"/>
    </row>
    <row r="286" spans="2:8" ht="15" customHeight="1" x14ac:dyDescent="0.25">
      <c r="B286">
        <v>278</v>
      </c>
      <c r="C286" s="5" t="s">
        <v>122</v>
      </c>
      <c r="D286" s="19">
        <v>46050</v>
      </c>
      <c r="E286" t="s">
        <v>141</v>
      </c>
      <c r="F286" t="s">
        <v>21</v>
      </c>
      <c r="G286" s="16">
        <v>105</v>
      </c>
      <c r="H286" s="16"/>
    </row>
    <row r="287" spans="2:8" ht="15" customHeight="1" x14ac:dyDescent="0.25">
      <c r="B287">
        <v>279</v>
      </c>
      <c r="C287" s="5" t="s">
        <v>122</v>
      </c>
      <c r="D287" s="19">
        <v>46051</v>
      </c>
      <c r="E287" t="s">
        <v>159</v>
      </c>
      <c r="F287" t="s">
        <v>25</v>
      </c>
      <c r="G287" s="16">
        <v>195</v>
      </c>
      <c r="H287" s="16"/>
    </row>
    <row r="288" spans="2:8" ht="15" customHeight="1" x14ac:dyDescent="0.25">
      <c r="B288">
        <v>280</v>
      </c>
      <c r="C288" s="5" t="s">
        <v>122</v>
      </c>
      <c r="D288" s="19">
        <v>46054</v>
      </c>
      <c r="E288" t="s">
        <v>272</v>
      </c>
      <c r="F288" t="s">
        <v>37</v>
      </c>
      <c r="G288" s="16">
        <v>10496.74</v>
      </c>
      <c r="H288" s="16"/>
    </row>
    <row r="289" spans="2:8" ht="15" customHeight="1" x14ac:dyDescent="0.25">
      <c r="B289">
        <v>281</v>
      </c>
      <c r="C289" s="5" t="s">
        <v>122</v>
      </c>
      <c r="D289" s="19">
        <v>46054</v>
      </c>
      <c r="E289" t="s">
        <v>272</v>
      </c>
      <c r="F289" t="s">
        <v>37</v>
      </c>
      <c r="G289" s="16">
        <v>184</v>
      </c>
      <c r="H289" s="16"/>
    </row>
    <row r="290" spans="2:8" ht="15" customHeight="1" x14ac:dyDescent="0.25">
      <c r="B290">
        <v>282</v>
      </c>
      <c r="C290" s="5" t="s">
        <v>122</v>
      </c>
      <c r="D290" s="19">
        <v>46054</v>
      </c>
      <c r="E290" t="s">
        <v>272</v>
      </c>
      <c r="F290" t="s">
        <v>37</v>
      </c>
      <c r="G290" s="16">
        <v>1000</v>
      </c>
      <c r="H290" s="16"/>
    </row>
    <row r="291" spans="2:8" ht="15" customHeight="1" x14ac:dyDescent="0.25">
      <c r="B291">
        <v>283</v>
      </c>
      <c r="C291" s="5" t="s">
        <v>122</v>
      </c>
      <c r="D291" s="19">
        <v>46054</v>
      </c>
      <c r="E291" t="s">
        <v>272</v>
      </c>
      <c r="F291" t="s">
        <v>37</v>
      </c>
      <c r="G291" s="16">
        <v>19950</v>
      </c>
      <c r="H291" s="16"/>
    </row>
    <row r="292" spans="2:8" ht="15" customHeight="1" x14ac:dyDescent="0.25">
      <c r="B292">
        <v>284</v>
      </c>
      <c r="C292" s="5" t="s">
        <v>123</v>
      </c>
      <c r="D292" s="19">
        <v>46054</v>
      </c>
      <c r="E292" t="s">
        <v>136</v>
      </c>
      <c r="F292" t="s">
        <v>21</v>
      </c>
      <c r="G292" s="16">
        <v>1297.7</v>
      </c>
      <c r="H292" s="16"/>
    </row>
    <row r="293" spans="2:8" ht="15" customHeight="1" x14ac:dyDescent="0.25">
      <c r="B293">
        <v>285</v>
      </c>
      <c r="C293" s="5" t="s">
        <v>123</v>
      </c>
      <c r="D293" s="19">
        <v>46054</v>
      </c>
      <c r="E293" t="s">
        <v>289</v>
      </c>
      <c r="F293" t="s">
        <v>7</v>
      </c>
      <c r="G293" s="16">
        <v>482.52</v>
      </c>
      <c r="H293" s="16"/>
    </row>
    <row r="294" spans="2:8" ht="15" customHeight="1" x14ac:dyDescent="0.25">
      <c r="B294">
        <v>286</v>
      </c>
      <c r="C294" s="5" t="s">
        <v>123</v>
      </c>
      <c r="D294" s="19">
        <v>46054</v>
      </c>
      <c r="E294" t="s">
        <v>209</v>
      </c>
      <c r="F294" t="s">
        <v>25</v>
      </c>
      <c r="G294" s="16">
        <v>90</v>
      </c>
      <c r="H294" s="16"/>
    </row>
    <row r="295" spans="2:8" ht="15" customHeight="1" x14ac:dyDescent="0.25">
      <c r="B295">
        <v>287</v>
      </c>
      <c r="C295" s="5" t="s">
        <v>123</v>
      </c>
      <c r="D295" s="19">
        <v>46054</v>
      </c>
      <c r="E295" t="s">
        <v>295</v>
      </c>
      <c r="F295" t="s">
        <v>21</v>
      </c>
      <c r="G295" s="16">
        <v>90</v>
      </c>
      <c r="H295" s="16"/>
    </row>
    <row r="296" spans="2:8" ht="15" customHeight="1" x14ac:dyDescent="0.25">
      <c r="B296">
        <v>288</v>
      </c>
      <c r="C296" s="5" t="s">
        <v>123</v>
      </c>
      <c r="D296" s="19">
        <v>46054</v>
      </c>
      <c r="E296" t="s">
        <v>227</v>
      </c>
      <c r="F296" t="s">
        <v>25</v>
      </c>
      <c r="G296" s="16">
        <v>100</v>
      </c>
      <c r="H296" s="16"/>
    </row>
    <row r="297" spans="2:8" ht="15" customHeight="1" x14ac:dyDescent="0.25">
      <c r="B297">
        <v>289</v>
      </c>
      <c r="C297" s="5" t="s">
        <v>123</v>
      </c>
      <c r="D297" s="19">
        <v>46054</v>
      </c>
      <c r="E297" t="s">
        <v>294</v>
      </c>
      <c r="F297" t="s">
        <v>21</v>
      </c>
      <c r="G297" s="16">
        <v>225</v>
      </c>
      <c r="H297" s="16"/>
    </row>
    <row r="298" spans="2:8" ht="15" customHeight="1" x14ac:dyDescent="0.25">
      <c r="B298">
        <v>290</v>
      </c>
      <c r="C298" s="5" t="s">
        <v>123</v>
      </c>
      <c r="D298" s="19">
        <v>46054</v>
      </c>
      <c r="E298" t="s">
        <v>290</v>
      </c>
      <c r="F298" t="s">
        <v>25</v>
      </c>
      <c r="G298" s="16">
        <v>85</v>
      </c>
      <c r="H298" s="16"/>
    </row>
    <row r="299" spans="2:8" ht="15" customHeight="1" x14ac:dyDescent="0.25">
      <c r="B299">
        <v>291</v>
      </c>
      <c r="C299" s="5" t="s">
        <v>123</v>
      </c>
      <c r="D299" s="19">
        <v>46054</v>
      </c>
      <c r="E299" t="s">
        <v>191</v>
      </c>
      <c r="F299" t="s">
        <v>21</v>
      </c>
      <c r="G299" s="16">
        <v>220</v>
      </c>
      <c r="H299" s="16"/>
    </row>
    <row r="300" spans="2:8" ht="15" customHeight="1" x14ac:dyDescent="0.25">
      <c r="B300">
        <v>292</v>
      </c>
      <c r="C300" s="5" t="s">
        <v>123</v>
      </c>
      <c r="D300" s="19">
        <v>46054</v>
      </c>
      <c r="E300" t="s">
        <v>42</v>
      </c>
      <c r="F300" t="s">
        <v>86</v>
      </c>
      <c r="G300" s="16"/>
      <c r="H300" s="16">
        <v>43700</v>
      </c>
    </row>
    <row r="301" spans="2:8" ht="15" customHeight="1" x14ac:dyDescent="0.25">
      <c r="B301">
        <v>293</v>
      </c>
      <c r="C301" s="5" t="s">
        <v>123</v>
      </c>
      <c r="D301" s="19">
        <v>46054</v>
      </c>
      <c r="E301" t="s">
        <v>296</v>
      </c>
      <c r="F301" t="s">
        <v>86</v>
      </c>
      <c r="G301" s="16"/>
      <c r="H301" s="16">
        <v>3000</v>
      </c>
    </row>
    <row r="302" spans="2:8" ht="15" customHeight="1" x14ac:dyDescent="0.25">
      <c r="B302">
        <v>294</v>
      </c>
      <c r="C302" s="5" t="s">
        <v>123</v>
      </c>
      <c r="D302" s="19">
        <v>46055</v>
      </c>
      <c r="E302" t="s">
        <v>124</v>
      </c>
      <c r="F302" t="s">
        <v>36</v>
      </c>
      <c r="G302" s="16">
        <v>10000</v>
      </c>
      <c r="H302" s="16"/>
    </row>
    <row r="303" spans="2:8" ht="15" customHeight="1" x14ac:dyDescent="0.25">
      <c r="B303">
        <v>295</v>
      </c>
      <c r="C303" s="5" t="s">
        <v>123</v>
      </c>
      <c r="D303" s="19">
        <v>46055</v>
      </c>
      <c r="E303" t="s">
        <v>291</v>
      </c>
      <c r="F303" t="s">
        <v>25</v>
      </c>
      <c r="G303" s="16">
        <v>233</v>
      </c>
      <c r="H303" s="16"/>
    </row>
    <row r="304" spans="2:8" ht="15" customHeight="1" x14ac:dyDescent="0.25">
      <c r="B304">
        <v>296</v>
      </c>
      <c r="C304" s="5" t="s">
        <v>123</v>
      </c>
      <c r="D304" s="19">
        <v>46055</v>
      </c>
      <c r="E304" t="s">
        <v>292</v>
      </c>
      <c r="F304" t="s">
        <v>14</v>
      </c>
      <c r="G304" s="16">
        <v>68</v>
      </c>
      <c r="H304" s="16"/>
    </row>
    <row r="305" spans="2:8" ht="15" customHeight="1" x14ac:dyDescent="0.25">
      <c r="B305">
        <v>297</v>
      </c>
      <c r="C305" s="5" t="s">
        <v>123</v>
      </c>
      <c r="D305" s="19">
        <v>46055</v>
      </c>
      <c r="E305" t="s">
        <v>290</v>
      </c>
      <c r="F305" t="s">
        <v>25</v>
      </c>
      <c r="G305" s="16">
        <v>245</v>
      </c>
      <c r="H305" s="16"/>
    </row>
    <row r="306" spans="2:8" ht="15" customHeight="1" x14ac:dyDescent="0.25">
      <c r="B306">
        <v>298</v>
      </c>
      <c r="C306" s="5" t="s">
        <v>123</v>
      </c>
      <c r="D306" s="19">
        <v>46055</v>
      </c>
      <c r="E306" t="s">
        <v>139</v>
      </c>
      <c r="F306" t="s">
        <v>3</v>
      </c>
      <c r="G306" s="16">
        <v>15500</v>
      </c>
      <c r="H306" s="16"/>
    </row>
    <row r="307" spans="2:8" ht="15" customHeight="1" x14ac:dyDescent="0.25">
      <c r="B307">
        <v>299</v>
      </c>
      <c r="C307" s="5" t="s">
        <v>123</v>
      </c>
      <c r="D307" s="19">
        <v>46055</v>
      </c>
      <c r="E307" t="s">
        <v>81</v>
      </c>
      <c r="F307" t="s">
        <v>81</v>
      </c>
      <c r="G307" s="16">
        <v>250</v>
      </c>
      <c r="H307" s="16"/>
    </row>
    <row r="308" spans="2:8" ht="15" customHeight="1" x14ac:dyDescent="0.25">
      <c r="B308">
        <v>300</v>
      </c>
      <c r="C308" s="5" t="s">
        <v>123</v>
      </c>
      <c r="D308" s="19">
        <v>46055</v>
      </c>
      <c r="E308" t="s">
        <v>6</v>
      </c>
      <c r="F308" t="s">
        <v>6</v>
      </c>
      <c r="G308" s="16">
        <v>750</v>
      </c>
      <c r="H308" s="16"/>
    </row>
    <row r="309" spans="2:8" ht="15" customHeight="1" x14ac:dyDescent="0.25">
      <c r="B309">
        <v>301</v>
      </c>
      <c r="C309" s="5" t="s">
        <v>122</v>
      </c>
      <c r="D309" s="19">
        <v>46056</v>
      </c>
      <c r="E309" t="s">
        <v>147</v>
      </c>
      <c r="F309" t="s">
        <v>25</v>
      </c>
      <c r="G309" s="16">
        <v>20</v>
      </c>
      <c r="H309" s="16"/>
    </row>
    <row r="310" spans="2:8" ht="15" customHeight="1" x14ac:dyDescent="0.25">
      <c r="B310">
        <v>302</v>
      </c>
      <c r="C310" s="5" t="s">
        <v>122</v>
      </c>
      <c r="D310" s="19">
        <v>46056</v>
      </c>
      <c r="E310" t="s">
        <v>273</v>
      </c>
      <c r="F310" t="s">
        <v>7</v>
      </c>
      <c r="G310" s="16">
        <v>120</v>
      </c>
      <c r="H310" s="16"/>
    </row>
    <row r="311" spans="2:8" ht="15" customHeight="1" x14ac:dyDescent="0.25">
      <c r="B311">
        <v>303</v>
      </c>
      <c r="C311" s="5" t="s">
        <v>122</v>
      </c>
      <c r="D311" s="19">
        <v>46058</v>
      </c>
      <c r="E311" t="s">
        <v>144</v>
      </c>
      <c r="F311" t="s">
        <v>21</v>
      </c>
      <c r="G311" s="16">
        <v>150</v>
      </c>
      <c r="H311" s="16"/>
    </row>
    <row r="312" spans="2:8" ht="15" customHeight="1" x14ac:dyDescent="0.25">
      <c r="B312">
        <v>304</v>
      </c>
      <c r="C312" s="5" t="s">
        <v>122</v>
      </c>
      <c r="D312" s="19">
        <v>46058</v>
      </c>
      <c r="E312" t="s">
        <v>222</v>
      </c>
      <c r="F312" t="s">
        <v>21</v>
      </c>
      <c r="G312" s="16">
        <v>38</v>
      </c>
      <c r="H312" s="16"/>
    </row>
    <row r="313" spans="2:8" ht="15" customHeight="1" x14ac:dyDescent="0.25">
      <c r="B313">
        <v>305</v>
      </c>
      <c r="C313" s="5" t="s">
        <v>123</v>
      </c>
      <c r="D313" s="19">
        <v>46058</v>
      </c>
      <c r="E313" t="s">
        <v>136</v>
      </c>
      <c r="F313" t="s">
        <v>21</v>
      </c>
      <c r="G313" s="16">
        <v>544</v>
      </c>
      <c r="H313" s="16"/>
    </row>
    <row r="314" spans="2:8" ht="15" customHeight="1" x14ac:dyDescent="0.25">
      <c r="B314">
        <v>306</v>
      </c>
      <c r="C314" s="5" t="s">
        <v>123</v>
      </c>
      <c r="D314" s="19">
        <v>46058</v>
      </c>
      <c r="E314" t="s">
        <v>293</v>
      </c>
      <c r="F314" t="s">
        <v>25</v>
      </c>
      <c r="G314" s="16">
        <v>285</v>
      </c>
      <c r="H314" s="16"/>
    </row>
    <row r="315" spans="2:8" ht="15" customHeight="1" x14ac:dyDescent="0.25">
      <c r="B315">
        <v>307</v>
      </c>
      <c r="C315" s="5" t="s">
        <v>122</v>
      </c>
      <c r="D315" s="19">
        <v>46060</v>
      </c>
      <c r="E315" t="s">
        <v>138</v>
      </c>
      <c r="F315" t="s">
        <v>23</v>
      </c>
      <c r="G315" s="16">
        <v>50</v>
      </c>
      <c r="H315" s="16"/>
    </row>
    <row r="316" spans="2:8" ht="15" customHeight="1" x14ac:dyDescent="0.25">
      <c r="B316">
        <v>308</v>
      </c>
      <c r="C316" s="5" t="s">
        <v>122</v>
      </c>
      <c r="D316" s="19">
        <v>46060</v>
      </c>
      <c r="E316" t="s">
        <v>298</v>
      </c>
      <c r="F316" t="s">
        <v>25</v>
      </c>
      <c r="G316" s="16">
        <v>214</v>
      </c>
      <c r="H316" s="16"/>
    </row>
    <row r="317" spans="2:8" ht="15" customHeight="1" x14ac:dyDescent="0.25">
      <c r="B317">
        <v>309</v>
      </c>
      <c r="C317" s="5" t="s">
        <v>122</v>
      </c>
      <c r="D317" s="19">
        <v>46061</v>
      </c>
      <c r="E317" t="s">
        <v>157</v>
      </c>
      <c r="F317" t="s">
        <v>218</v>
      </c>
      <c r="G317" s="16">
        <v>352.82</v>
      </c>
      <c r="H317" s="16"/>
    </row>
    <row r="318" spans="2:8" ht="15" customHeight="1" x14ac:dyDescent="0.25">
      <c r="B318">
        <v>310</v>
      </c>
      <c r="C318" s="5" t="s">
        <v>122</v>
      </c>
      <c r="D318" s="19">
        <v>46061</v>
      </c>
      <c r="E318" t="s">
        <v>147</v>
      </c>
      <c r="F318" t="s">
        <v>25</v>
      </c>
      <c r="G318" s="16">
        <v>45</v>
      </c>
      <c r="H318" s="16"/>
    </row>
    <row r="319" spans="2:8" ht="15" customHeight="1" x14ac:dyDescent="0.25">
      <c r="B319">
        <v>311</v>
      </c>
      <c r="C319" s="5" t="s">
        <v>122</v>
      </c>
      <c r="D319" s="19">
        <v>46061</v>
      </c>
      <c r="E319" t="s">
        <v>42</v>
      </c>
      <c r="F319" t="s">
        <v>85</v>
      </c>
      <c r="G319" s="16"/>
      <c r="H319" s="16">
        <v>56200</v>
      </c>
    </row>
    <row r="320" spans="2:8" ht="15" customHeight="1" x14ac:dyDescent="0.25">
      <c r="B320">
        <v>312</v>
      </c>
      <c r="C320" s="5" t="s">
        <v>123</v>
      </c>
      <c r="D320" s="19">
        <v>46061</v>
      </c>
      <c r="E320" t="s">
        <v>299</v>
      </c>
      <c r="G320" s="16">
        <v>251</v>
      </c>
      <c r="H320" s="16"/>
    </row>
    <row r="321" spans="2:8" ht="15" customHeight="1" x14ac:dyDescent="0.25">
      <c r="B321">
        <v>313</v>
      </c>
      <c r="C321" s="5" t="s">
        <v>123</v>
      </c>
      <c r="D321" s="19">
        <v>46061</v>
      </c>
      <c r="E321" t="s">
        <v>158</v>
      </c>
      <c r="F321" t="s">
        <v>8</v>
      </c>
      <c r="G321" s="16">
        <v>300</v>
      </c>
      <c r="H321" s="16"/>
    </row>
    <row r="322" spans="2:8" ht="15" customHeight="1" x14ac:dyDescent="0.25">
      <c r="B322">
        <v>314</v>
      </c>
      <c r="C322" s="5" t="s">
        <v>123</v>
      </c>
      <c r="D322" s="19">
        <v>46061</v>
      </c>
      <c r="E322" t="s">
        <v>227</v>
      </c>
      <c r="F322" t="s">
        <v>25</v>
      </c>
      <c r="G322" s="16">
        <v>50</v>
      </c>
      <c r="H322" s="16"/>
    </row>
    <row r="323" spans="2:8" ht="15" customHeight="1" x14ac:dyDescent="0.25">
      <c r="B323">
        <v>315</v>
      </c>
      <c r="C323" s="5" t="s">
        <v>123</v>
      </c>
      <c r="D323" s="19">
        <v>46061</v>
      </c>
      <c r="E323" t="s">
        <v>171</v>
      </c>
      <c r="F323" t="s">
        <v>21</v>
      </c>
      <c r="G323" s="16">
        <v>620</v>
      </c>
      <c r="H323" s="16"/>
    </row>
    <row r="324" spans="2:8" ht="15" customHeight="1" x14ac:dyDescent="0.25">
      <c r="B324">
        <v>316</v>
      </c>
      <c r="C324" s="5" t="s">
        <v>123</v>
      </c>
      <c r="D324" s="19">
        <v>46061</v>
      </c>
      <c r="E324" t="s">
        <v>301</v>
      </c>
      <c r="F324" t="s">
        <v>21</v>
      </c>
      <c r="G324" s="16">
        <v>20</v>
      </c>
      <c r="H324" s="16"/>
    </row>
    <row r="325" spans="2:8" ht="15" customHeight="1" x14ac:dyDescent="0.25">
      <c r="B325">
        <v>317</v>
      </c>
      <c r="C325" s="5" t="s">
        <v>123</v>
      </c>
      <c r="D325" s="19">
        <v>46061</v>
      </c>
      <c r="E325" t="s">
        <v>259</v>
      </c>
      <c r="F325" t="s">
        <v>10</v>
      </c>
      <c r="G325" s="16">
        <v>70</v>
      </c>
      <c r="H325" s="16"/>
    </row>
    <row r="326" spans="2:8" ht="15" customHeight="1" x14ac:dyDescent="0.25">
      <c r="B326">
        <v>318</v>
      </c>
      <c r="C326" s="5" t="s">
        <v>123</v>
      </c>
      <c r="D326" s="19">
        <v>46061</v>
      </c>
      <c r="E326" t="s">
        <v>300</v>
      </c>
      <c r="F326" t="s">
        <v>6</v>
      </c>
      <c r="G326" s="16">
        <v>165</v>
      </c>
      <c r="H326" s="16"/>
    </row>
    <row r="327" spans="2:8" ht="15" customHeight="1" x14ac:dyDescent="0.25">
      <c r="B327">
        <v>319</v>
      </c>
      <c r="C327" s="5" t="s">
        <v>122</v>
      </c>
      <c r="D327" s="19">
        <v>46062</v>
      </c>
      <c r="E327" t="s">
        <v>175</v>
      </c>
      <c r="F327" t="s">
        <v>218</v>
      </c>
      <c r="G327" s="16">
        <v>666</v>
      </c>
      <c r="H327" s="16"/>
    </row>
    <row r="328" spans="2:8" ht="15" customHeight="1" x14ac:dyDescent="0.25">
      <c r="B328">
        <v>320</v>
      </c>
      <c r="C328" s="5" t="s">
        <v>122</v>
      </c>
      <c r="D328" s="19">
        <v>46062</v>
      </c>
      <c r="E328" t="s">
        <v>303</v>
      </c>
      <c r="F328" t="s">
        <v>218</v>
      </c>
      <c r="G328" s="16">
        <v>899</v>
      </c>
      <c r="H328" s="16"/>
    </row>
    <row r="329" spans="2:8" ht="15" customHeight="1" x14ac:dyDescent="0.25">
      <c r="B329">
        <v>321</v>
      </c>
      <c r="C329" s="5" t="s">
        <v>122</v>
      </c>
      <c r="D329" s="19">
        <v>46062</v>
      </c>
      <c r="E329" t="s">
        <v>304</v>
      </c>
      <c r="F329" t="s">
        <v>37</v>
      </c>
      <c r="G329" s="16">
        <v>9000</v>
      </c>
      <c r="H329" s="16"/>
    </row>
    <row r="330" spans="2:8" ht="15" customHeight="1" x14ac:dyDescent="0.25">
      <c r="B330">
        <v>322</v>
      </c>
      <c r="C330" s="5" t="s">
        <v>122</v>
      </c>
      <c r="D330" s="19">
        <v>46062</v>
      </c>
      <c r="E330" t="s">
        <v>130</v>
      </c>
      <c r="F330" t="s">
        <v>37</v>
      </c>
      <c r="G330" s="16">
        <v>361</v>
      </c>
      <c r="H330" s="16"/>
    </row>
    <row r="331" spans="2:8" ht="15" customHeight="1" x14ac:dyDescent="0.25">
      <c r="B331">
        <v>323</v>
      </c>
      <c r="C331" s="5" t="s">
        <v>122</v>
      </c>
      <c r="D331" s="19">
        <v>46062</v>
      </c>
      <c r="E331" t="s">
        <v>305</v>
      </c>
      <c r="F331" t="s">
        <v>83</v>
      </c>
      <c r="G331" s="16">
        <v>5000</v>
      </c>
      <c r="H331" s="16"/>
    </row>
    <row r="332" spans="2:8" ht="15" customHeight="1" x14ac:dyDescent="0.25">
      <c r="B332">
        <v>324</v>
      </c>
      <c r="C332" s="5" t="s">
        <v>122</v>
      </c>
      <c r="D332" s="19">
        <v>46062</v>
      </c>
      <c r="E332" t="s">
        <v>306</v>
      </c>
      <c r="F332" t="s">
        <v>20</v>
      </c>
      <c r="G332" s="16">
        <v>600</v>
      </c>
      <c r="H332" s="16"/>
    </row>
    <row r="333" spans="2:8" ht="15" customHeight="1" x14ac:dyDescent="0.25">
      <c r="B333">
        <v>325</v>
      </c>
      <c r="C333" s="5" t="s">
        <v>123</v>
      </c>
      <c r="D333" s="19">
        <v>46062</v>
      </c>
      <c r="E333" t="s">
        <v>305</v>
      </c>
      <c r="F333" t="s">
        <v>84</v>
      </c>
      <c r="G333" s="16">
        <v>5621</v>
      </c>
      <c r="H333" s="16"/>
    </row>
    <row r="334" spans="2:8" ht="15" customHeight="1" x14ac:dyDescent="0.25">
      <c r="B334">
        <v>326</v>
      </c>
      <c r="C334" s="5" t="s">
        <v>122</v>
      </c>
      <c r="D334" s="19">
        <v>46063</v>
      </c>
      <c r="E334" t="s">
        <v>307</v>
      </c>
      <c r="F334" t="s">
        <v>15</v>
      </c>
      <c r="G334" s="16">
        <v>270</v>
      </c>
      <c r="H334" s="16"/>
    </row>
    <row r="335" spans="2:8" ht="15" customHeight="1" x14ac:dyDescent="0.25">
      <c r="B335">
        <v>327</v>
      </c>
      <c r="C335" s="5" t="s">
        <v>122</v>
      </c>
      <c r="D335" s="19">
        <v>46064</v>
      </c>
      <c r="E335" t="s">
        <v>207</v>
      </c>
      <c r="F335" t="s">
        <v>25</v>
      </c>
      <c r="G335" s="16">
        <v>748</v>
      </c>
      <c r="H335" s="16"/>
    </row>
    <row r="336" spans="2:8" ht="15" customHeight="1" x14ac:dyDescent="0.25">
      <c r="B336">
        <v>328</v>
      </c>
      <c r="C336" s="5" t="s">
        <v>122</v>
      </c>
      <c r="D336" s="19">
        <v>46064</v>
      </c>
      <c r="E336" t="s">
        <v>314</v>
      </c>
      <c r="F336" t="s">
        <v>84</v>
      </c>
      <c r="G336" s="16">
        <v>2000</v>
      </c>
      <c r="H336" s="16"/>
    </row>
    <row r="337" spans="2:8" ht="15" customHeight="1" x14ac:dyDescent="0.25">
      <c r="B337">
        <v>329</v>
      </c>
      <c r="C337" s="5" t="s">
        <v>122</v>
      </c>
      <c r="D337" s="19">
        <v>46066</v>
      </c>
      <c r="E337" t="s">
        <v>308</v>
      </c>
      <c r="F337" t="s">
        <v>21</v>
      </c>
      <c r="G337" s="16">
        <v>48</v>
      </c>
      <c r="H337" s="16"/>
    </row>
    <row r="338" spans="2:8" ht="15" customHeight="1" x14ac:dyDescent="0.25">
      <c r="B338">
        <v>330</v>
      </c>
      <c r="C338" s="5" t="s">
        <v>122</v>
      </c>
      <c r="D338" s="19">
        <v>46066</v>
      </c>
      <c r="E338" t="s">
        <v>290</v>
      </c>
      <c r="F338" t="s">
        <v>25</v>
      </c>
      <c r="G338" s="16">
        <v>235</v>
      </c>
      <c r="H338" s="16"/>
    </row>
    <row r="339" spans="2:8" ht="15" customHeight="1" x14ac:dyDescent="0.25">
      <c r="B339">
        <v>331</v>
      </c>
      <c r="C339" s="5" t="s">
        <v>122</v>
      </c>
      <c r="D339" s="19">
        <v>46066</v>
      </c>
      <c r="E339" t="s">
        <v>337</v>
      </c>
      <c r="F339" t="s">
        <v>10</v>
      </c>
      <c r="G339" s="16">
        <v>1890</v>
      </c>
      <c r="H339" s="16"/>
    </row>
    <row r="340" spans="2:8" ht="15" customHeight="1" x14ac:dyDescent="0.25">
      <c r="B340">
        <v>332</v>
      </c>
      <c r="C340" s="5" t="s">
        <v>122</v>
      </c>
      <c r="D340" s="19">
        <v>46067</v>
      </c>
      <c r="E340" t="s">
        <v>169</v>
      </c>
      <c r="F340" t="s">
        <v>21</v>
      </c>
      <c r="G340" s="16">
        <v>90</v>
      </c>
      <c r="H340" s="16"/>
    </row>
    <row r="341" spans="2:8" ht="15" customHeight="1" x14ac:dyDescent="0.25">
      <c r="B341">
        <v>333</v>
      </c>
      <c r="C341" s="5" t="s">
        <v>122</v>
      </c>
      <c r="D341" s="19">
        <v>46067</v>
      </c>
      <c r="E341" t="s">
        <v>147</v>
      </c>
      <c r="F341" t="s">
        <v>25</v>
      </c>
      <c r="G341" s="16">
        <v>30</v>
      </c>
      <c r="H341" s="16"/>
    </row>
    <row r="342" spans="2:8" ht="15" customHeight="1" x14ac:dyDescent="0.25">
      <c r="B342">
        <v>334</v>
      </c>
      <c r="C342" s="5" t="s">
        <v>122</v>
      </c>
      <c r="D342" s="19">
        <v>46067</v>
      </c>
      <c r="E342" t="s">
        <v>309</v>
      </c>
      <c r="F342" t="s">
        <v>24</v>
      </c>
      <c r="G342" s="16">
        <v>478</v>
      </c>
      <c r="H342" s="16"/>
    </row>
    <row r="343" spans="2:8" ht="15" customHeight="1" x14ac:dyDescent="0.25">
      <c r="B343">
        <v>335</v>
      </c>
      <c r="C343" s="5" t="s">
        <v>122</v>
      </c>
      <c r="D343" s="19">
        <v>46067</v>
      </c>
      <c r="E343" t="s">
        <v>309</v>
      </c>
      <c r="F343" t="s">
        <v>24</v>
      </c>
      <c r="G343" s="16">
        <v>278</v>
      </c>
      <c r="H343" s="16"/>
    </row>
    <row r="344" spans="2:8" ht="15" customHeight="1" x14ac:dyDescent="0.25">
      <c r="B344">
        <v>336</v>
      </c>
      <c r="C344" s="5" t="s">
        <v>122</v>
      </c>
      <c r="D344" s="19">
        <v>46067</v>
      </c>
      <c r="E344" t="s">
        <v>310</v>
      </c>
      <c r="F344" t="s">
        <v>31</v>
      </c>
      <c r="G344" s="16">
        <v>200</v>
      </c>
      <c r="H344" s="16"/>
    </row>
    <row r="345" spans="2:8" ht="15" customHeight="1" x14ac:dyDescent="0.25">
      <c r="B345">
        <v>337</v>
      </c>
      <c r="C345" s="5" t="s">
        <v>122</v>
      </c>
      <c r="D345" s="19">
        <v>46067</v>
      </c>
      <c r="E345" t="s">
        <v>311</v>
      </c>
      <c r="F345" t="s">
        <v>25</v>
      </c>
      <c r="G345" s="16">
        <v>60</v>
      </c>
      <c r="H345" s="16"/>
    </row>
    <row r="346" spans="2:8" ht="15" customHeight="1" x14ac:dyDescent="0.25">
      <c r="B346">
        <v>338</v>
      </c>
      <c r="C346" s="5" t="s">
        <v>122</v>
      </c>
      <c r="D346" s="19">
        <v>46067</v>
      </c>
      <c r="E346" t="s">
        <v>312</v>
      </c>
      <c r="F346" t="s">
        <v>25</v>
      </c>
      <c r="G346" s="16">
        <v>1172</v>
      </c>
      <c r="H346" s="16"/>
    </row>
    <row r="347" spans="2:8" ht="15" customHeight="1" x14ac:dyDescent="0.25">
      <c r="B347">
        <v>339</v>
      </c>
      <c r="C347" s="5" t="s">
        <v>122</v>
      </c>
      <c r="D347" s="19">
        <v>46067</v>
      </c>
      <c r="E347" t="s">
        <v>315</v>
      </c>
      <c r="F347" t="s">
        <v>7</v>
      </c>
      <c r="G347" s="16">
        <v>880</v>
      </c>
      <c r="H347" s="16"/>
    </row>
    <row r="348" spans="2:8" ht="15" customHeight="1" x14ac:dyDescent="0.25">
      <c r="B348">
        <v>340</v>
      </c>
      <c r="C348" s="5" t="s">
        <v>123</v>
      </c>
      <c r="D348" s="19">
        <v>46067</v>
      </c>
      <c r="E348" t="s">
        <v>316</v>
      </c>
      <c r="F348" t="s">
        <v>15</v>
      </c>
      <c r="G348" s="16">
        <v>425</v>
      </c>
      <c r="H348" s="16"/>
    </row>
    <row r="349" spans="2:8" ht="15" customHeight="1" x14ac:dyDescent="0.25">
      <c r="B349">
        <v>341</v>
      </c>
      <c r="C349" s="5" t="s">
        <v>122</v>
      </c>
      <c r="D349" s="19">
        <v>46068</v>
      </c>
      <c r="E349" t="s">
        <v>144</v>
      </c>
      <c r="F349" t="s">
        <v>21</v>
      </c>
      <c r="G349" s="16">
        <v>100</v>
      </c>
      <c r="H349" s="16"/>
    </row>
    <row r="350" spans="2:8" ht="15" customHeight="1" x14ac:dyDescent="0.25">
      <c r="B350">
        <v>342</v>
      </c>
      <c r="C350" s="5" t="s">
        <v>122</v>
      </c>
      <c r="D350" s="19">
        <v>46068</v>
      </c>
      <c r="E350" t="s">
        <v>146</v>
      </c>
      <c r="F350" t="s">
        <v>21</v>
      </c>
      <c r="G350" s="16">
        <v>260</v>
      </c>
      <c r="H350" s="16"/>
    </row>
    <row r="351" spans="2:8" ht="15" customHeight="1" x14ac:dyDescent="0.25">
      <c r="B351">
        <v>343</v>
      </c>
      <c r="C351" s="5" t="s">
        <v>122</v>
      </c>
      <c r="D351" s="19">
        <v>46068</v>
      </c>
      <c r="E351" t="s">
        <v>243</v>
      </c>
      <c r="F351" t="s">
        <v>21</v>
      </c>
      <c r="G351" s="16">
        <v>20</v>
      </c>
      <c r="H351" s="16"/>
    </row>
    <row r="352" spans="2:8" ht="15" customHeight="1" x14ac:dyDescent="0.25">
      <c r="B352">
        <v>344</v>
      </c>
      <c r="C352" s="5" t="s">
        <v>122</v>
      </c>
      <c r="D352" s="19">
        <v>46069</v>
      </c>
      <c r="E352" t="s">
        <v>313</v>
      </c>
      <c r="F352" t="s">
        <v>21</v>
      </c>
      <c r="G352" s="16">
        <v>146</v>
      </c>
      <c r="H352" s="16"/>
    </row>
    <row r="353" spans="2:8" ht="15" customHeight="1" x14ac:dyDescent="0.25">
      <c r="B353">
        <v>345</v>
      </c>
      <c r="C353" s="5" t="s">
        <v>122</v>
      </c>
      <c r="D353" s="19">
        <v>46070</v>
      </c>
      <c r="E353" t="s">
        <v>317</v>
      </c>
      <c r="F353" t="s">
        <v>21</v>
      </c>
      <c r="G353" s="16">
        <v>20</v>
      </c>
      <c r="H353" s="16"/>
    </row>
    <row r="354" spans="2:8" ht="15" customHeight="1" x14ac:dyDescent="0.25">
      <c r="B354">
        <v>346</v>
      </c>
      <c r="C354" s="5" t="s">
        <v>122</v>
      </c>
      <c r="D354" s="19">
        <v>46070</v>
      </c>
      <c r="E354" t="s">
        <v>227</v>
      </c>
      <c r="F354" t="s">
        <v>25</v>
      </c>
      <c r="G354" s="16">
        <v>50</v>
      </c>
      <c r="H354" s="16"/>
    </row>
    <row r="355" spans="2:8" ht="15" customHeight="1" x14ac:dyDescent="0.25">
      <c r="B355">
        <v>347</v>
      </c>
      <c r="C355" s="5" t="s">
        <v>122</v>
      </c>
      <c r="D355" s="19">
        <v>46070</v>
      </c>
      <c r="E355" t="s">
        <v>95</v>
      </c>
      <c r="F355" t="s">
        <v>21</v>
      </c>
      <c r="G355" s="16">
        <v>526</v>
      </c>
      <c r="H355" s="16"/>
    </row>
    <row r="356" spans="2:8" ht="15" customHeight="1" x14ac:dyDescent="0.25">
      <c r="B356">
        <v>348</v>
      </c>
      <c r="C356" s="5" t="s">
        <v>122</v>
      </c>
      <c r="D356" s="19">
        <v>46070</v>
      </c>
      <c r="E356" t="s">
        <v>154</v>
      </c>
      <c r="F356" t="s">
        <v>21</v>
      </c>
      <c r="G356" s="16">
        <v>140</v>
      </c>
      <c r="H356" s="16"/>
    </row>
    <row r="357" spans="2:8" ht="15" customHeight="1" x14ac:dyDescent="0.25">
      <c r="B357">
        <v>349</v>
      </c>
      <c r="C357" s="5" t="s">
        <v>122</v>
      </c>
      <c r="D357" s="19">
        <v>46070</v>
      </c>
      <c r="E357" t="s">
        <v>318</v>
      </c>
      <c r="F357" t="s">
        <v>14</v>
      </c>
      <c r="G357" s="16">
        <v>150</v>
      </c>
      <c r="H357" s="16"/>
    </row>
    <row r="358" spans="2:8" ht="15" customHeight="1" x14ac:dyDescent="0.25">
      <c r="B358">
        <v>350</v>
      </c>
      <c r="C358" s="5" t="s">
        <v>122</v>
      </c>
      <c r="D358" s="19">
        <v>46071</v>
      </c>
      <c r="E358" t="s">
        <v>319</v>
      </c>
      <c r="F358" t="s">
        <v>25</v>
      </c>
      <c r="G358" s="16">
        <v>170</v>
      </c>
      <c r="H358" s="16"/>
    </row>
    <row r="359" spans="2:8" ht="15" customHeight="1" x14ac:dyDescent="0.25">
      <c r="B359">
        <v>351</v>
      </c>
      <c r="C359" s="5" t="s">
        <v>122</v>
      </c>
      <c r="D359" s="19">
        <v>46071</v>
      </c>
      <c r="E359" t="s">
        <v>320</v>
      </c>
      <c r="F359" t="s">
        <v>25</v>
      </c>
      <c r="G359" s="16">
        <v>100</v>
      </c>
      <c r="H359" s="16"/>
    </row>
    <row r="360" spans="2:8" ht="15" customHeight="1" x14ac:dyDescent="0.25">
      <c r="B360">
        <v>352</v>
      </c>
      <c r="C360" s="5" t="s">
        <v>122</v>
      </c>
      <c r="D360" s="19">
        <v>46072</v>
      </c>
      <c r="E360" t="s">
        <v>321</v>
      </c>
      <c r="F360" t="s">
        <v>21</v>
      </c>
      <c r="G360" s="16">
        <v>10</v>
      </c>
      <c r="H360" s="16"/>
    </row>
    <row r="361" spans="2:8" ht="15" customHeight="1" x14ac:dyDescent="0.25">
      <c r="B361">
        <v>353</v>
      </c>
      <c r="C361" s="5" t="s">
        <v>122</v>
      </c>
      <c r="D361" s="19">
        <v>46072</v>
      </c>
      <c r="E361" t="s">
        <v>323</v>
      </c>
      <c r="F361" t="s">
        <v>25</v>
      </c>
      <c r="G361" s="16">
        <v>831.25</v>
      </c>
      <c r="H361" s="16"/>
    </row>
    <row r="362" spans="2:8" ht="15" customHeight="1" x14ac:dyDescent="0.25">
      <c r="B362">
        <v>354</v>
      </c>
      <c r="C362" s="5" t="s">
        <v>123</v>
      </c>
      <c r="D362" s="19">
        <v>46073</v>
      </c>
      <c r="E362" t="s">
        <v>324</v>
      </c>
      <c r="F362" t="s">
        <v>21</v>
      </c>
      <c r="G362" s="16">
        <v>608</v>
      </c>
      <c r="H362" s="16"/>
    </row>
    <row r="363" spans="2:8" ht="15" customHeight="1" x14ac:dyDescent="0.25">
      <c r="B363">
        <v>355</v>
      </c>
      <c r="C363" s="5" t="s">
        <v>122</v>
      </c>
      <c r="D363" s="19">
        <v>46074</v>
      </c>
      <c r="E363" t="s">
        <v>128</v>
      </c>
      <c r="F363" t="s">
        <v>25</v>
      </c>
      <c r="G363" s="16">
        <v>75</v>
      </c>
      <c r="H363" s="16"/>
    </row>
    <row r="364" spans="2:8" ht="15" customHeight="1" x14ac:dyDescent="0.25">
      <c r="B364">
        <v>356</v>
      </c>
      <c r="C364" s="5" t="s">
        <v>123</v>
      </c>
      <c r="D364" s="19">
        <v>46074</v>
      </c>
      <c r="E364" t="s">
        <v>330</v>
      </c>
      <c r="F364" t="s">
        <v>10</v>
      </c>
      <c r="G364" s="16">
        <v>310</v>
      </c>
      <c r="H364" s="16"/>
    </row>
    <row r="365" spans="2:8" ht="15" customHeight="1" x14ac:dyDescent="0.25">
      <c r="B365">
        <v>357</v>
      </c>
      <c r="C365" s="5" t="s">
        <v>122</v>
      </c>
      <c r="D365" s="19">
        <v>46075</v>
      </c>
      <c r="E365" t="s">
        <v>322</v>
      </c>
      <c r="F365" t="s">
        <v>25</v>
      </c>
      <c r="G365" s="16">
        <v>74</v>
      </c>
      <c r="H365" s="16"/>
    </row>
    <row r="366" spans="2:8" ht="15" customHeight="1" x14ac:dyDescent="0.25">
      <c r="B366">
        <v>358</v>
      </c>
      <c r="C366" s="5" t="s">
        <v>122</v>
      </c>
      <c r="D366" s="19">
        <v>46075</v>
      </c>
      <c r="E366" t="s">
        <v>147</v>
      </c>
      <c r="F366" t="s">
        <v>25</v>
      </c>
      <c r="G366" s="16">
        <v>44</v>
      </c>
      <c r="H366" s="16"/>
    </row>
    <row r="367" spans="2:8" ht="15" customHeight="1" x14ac:dyDescent="0.25">
      <c r="B367">
        <v>359</v>
      </c>
      <c r="C367" s="5" t="s">
        <v>122</v>
      </c>
      <c r="D367" s="19">
        <v>46075</v>
      </c>
      <c r="E367" t="s">
        <v>128</v>
      </c>
      <c r="F367" t="s">
        <v>25</v>
      </c>
      <c r="G367" s="16">
        <v>50</v>
      </c>
      <c r="H367" s="16"/>
    </row>
    <row r="368" spans="2:8" ht="15" customHeight="1" x14ac:dyDescent="0.25">
      <c r="B368">
        <v>360</v>
      </c>
      <c r="C368" s="5" t="s">
        <v>122</v>
      </c>
      <c r="D368" s="19">
        <v>46075</v>
      </c>
      <c r="E368" t="s">
        <v>331</v>
      </c>
      <c r="F368" t="s">
        <v>10</v>
      </c>
      <c r="G368" s="16">
        <v>3042</v>
      </c>
      <c r="H368" s="16"/>
    </row>
    <row r="369" spans="2:9" ht="15" customHeight="1" x14ac:dyDescent="0.25">
      <c r="B369">
        <v>361</v>
      </c>
      <c r="C369" s="5" t="s">
        <v>123</v>
      </c>
      <c r="D369" s="19">
        <v>46075</v>
      </c>
      <c r="E369" t="s">
        <v>138</v>
      </c>
      <c r="F369" t="s">
        <v>26</v>
      </c>
      <c r="G369" s="16">
        <v>100</v>
      </c>
      <c r="H369" s="16"/>
    </row>
    <row r="370" spans="2:9" ht="15" customHeight="1" x14ac:dyDescent="0.25">
      <c r="B370">
        <v>362</v>
      </c>
      <c r="C370" s="5" t="s">
        <v>123</v>
      </c>
      <c r="D370" s="19">
        <v>46075</v>
      </c>
      <c r="E370" t="s">
        <v>335</v>
      </c>
      <c r="F370" t="s">
        <v>10</v>
      </c>
      <c r="G370" s="16">
        <v>100</v>
      </c>
      <c r="H370" s="16"/>
    </row>
    <row r="371" spans="2:9" ht="15" customHeight="1" x14ac:dyDescent="0.25">
      <c r="B371">
        <v>363</v>
      </c>
      <c r="C371" s="5" t="s">
        <v>123</v>
      </c>
      <c r="D371" s="19">
        <v>46076</v>
      </c>
      <c r="E371" t="s">
        <v>334</v>
      </c>
      <c r="F371" t="s">
        <v>10</v>
      </c>
      <c r="G371" s="16">
        <v>340</v>
      </c>
      <c r="H371" s="16"/>
    </row>
    <row r="372" spans="2:9" ht="15" customHeight="1" x14ac:dyDescent="0.25">
      <c r="B372">
        <v>364</v>
      </c>
      <c r="C372" s="5" t="s">
        <v>122</v>
      </c>
      <c r="D372" s="19">
        <v>46078</v>
      </c>
      <c r="E372" t="s">
        <v>336</v>
      </c>
      <c r="F372" t="s">
        <v>21</v>
      </c>
      <c r="G372" s="16">
        <v>200</v>
      </c>
      <c r="H372" s="16"/>
    </row>
    <row r="373" spans="2:9" ht="15" customHeight="1" x14ac:dyDescent="0.25">
      <c r="B373">
        <v>365</v>
      </c>
      <c r="C373" s="5" t="s">
        <v>123</v>
      </c>
      <c r="D373" s="19">
        <v>46078</v>
      </c>
      <c r="E373" t="s">
        <v>137</v>
      </c>
      <c r="F373" t="s">
        <v>25</v>
      </c>
      <c r="G373" s="16">
        <v>280</v>
      </c>
      <c r="H373" s="16"/>
    </row>
    <row r="374" spans="2:9" ht="15" customHeight="1" x14ac:dyDescent="0.25">
      <c r="B374">
        <v>366</v>
      </c>
      <c r="C374" s="5" t="s">
        <v>123</v>
      </c>
      <c r="D374" s="19">
        <v>46079</v>
      </c>
      <c r="E374" t="s">
        <v>325</v>
      </c>
      <c r="F374" t="s">
        <v>21</v>
      </c>
      <c r="G374" s="16">
        <v>220</v>
      </c>
      <c r="H374" s="16"/>
    </row>
    <row r="375" spans="2:9" ht="15" customHeight="1" x14ac:dyDescent="0.25">
      <c r="B375">
        <v>367</v>
      </c>
      <c r="C375" s="5" t="s">
        <v>122</v>
      </c>
      <c r="D375" s="19">
        <v>46082</v>
      </c>
      <c r="E375" t="s">
        <v>42</v>
      </c>
      <c r="F375" t="s">
        <v>85</v>
      </c>
      <c r="G375" s="16"/>
      <c r="H375" s="16">
        <v>57540</v>
      </c>
    </row>
    <row r="376" spans="2:9" ht="15" customHeight="1" x14ac:dyDescent="0.25">
      <c r="B376">
        <v>368</v>
      </c>
      <c r="C376" s="5" t="s">
        <v>122</v>
      </c>
      <c r="D376" s="19">
        <v>46082</v>
      </c>
      <c r="E376" t="s">
        <v>326</v>
      </c>
      <c r="F376" t="s">
        <v>25</v>
      </c>
      <c r="G376" s="16">
        <v>1099</v>
      </c>
      <c r="H376" s="16"/>
      <c r="I376" t="s">
        <v>327</v>
      </c>
    </row>
    <row r="377" spans="2:9" ht="15" customHeight="1" x14ac:dyDescent="0.25">
      <c r="B377">
        <v>369</v>
      </c>
      <c r="C377" s="5" t="s">
        <v>122</v>
      </c>
      <c r="D377" s="19">
        <v>46082</v>
      </c>
      <c r="E377" t="s">
        <v>328</v>
      </c>
      <c r="F377" t="s">
        <v>10</v>
      </c>
      <c r="G377" s="16">
        <v>532</v>
      </c>
      <c r="H377" s="16"/>
    </row>
    <row r="378" spans="2:9" ht="15" customHeight="1" x14ac:dyDescent="0.25">
      <c r="B378">
        <v>370</v>
      </c>
      <c r="C378" s="5" t="s">
        <v>122</v>
      </c>
      <c r="D378" s="19">
        <v>46082</v>
      </c>
      <c r="E378" t="s">
        <v>329</v>
      </c>
      <c r="F378" t="s">
        <v>10</v>
      </c>
      <c r="G378" s="16">
        <v>1430</v>
      </c>
      <c r="H378" s="16"/>
    </row>
    <row r="379" spans="2:9" ht="15" customHeight="1" x14ac:dyDescent="0.25">
      <c r="B379">
        <v>371</v>
      </c>
      <c r="C379" s="5" t="s">
        <v>122</v>
      </c>
      <c r="D379" s="19">
        <v>46082</v>
      </c>
      <c r="E379" t="s">
        <v>332</v>
      </c>
      <c r="F379" t="s">
        <v>25</v>
      </c>
      <c r="G379" s="16">
        <v>1144</v>
      </c>
      <c r="H379" s="16"/>
      <c r="I379" t="s">
        <v>333</v>
      </c>
    </row>
    <row r="380" spans="2:9" ht="15" customHeight="1" x14ac:dyDescent="0.25">
      <c r="B380">
        <v>372</v>
      </c>
      <c r="C380" s="5" t="s">
        <v>122</v>
      </c>
      <c r="D380" s="19">
        <v>46082</v>
      </c>
      <c r="E380" t="s">
        <v>338</v>
      </c>
      <c r="F380" t="s">
        <v>218</v>
      </c>
      <c r="G380" s="16">
        <v>859</v>
      </c>
      <c r="H380" s="16"/>
    </row>
    <row r="381" spans="2:9" ht="15" customHeight="1" x14ac:dyDescent="0.25">
      <c r="B381">
        <v>373</v>
      </c>
      <c r="C381" s="5" t="s">
        <v>122</v>
      </c>
      <c r="D381" s="19">
        <v>46082</v>
      </c>
      <c r="E381" t="s">
        <v>256</v>
      </c>
      <c r="F381" t="s">
        <v>83</v>
      </c>
      <c r="G381" s="16">
        <v>5115</v>
      </c>
      <c r="H381" s="16"/>
    </row>
    <row r="382" spans="2:9" ht="15" customHeight="1" x14ac:dyDescent="0.25">
      <c r="B382">
        <v>374</v>
      </c>
      <c r="C382" s="5" t="s">
        <v>122</v>
      </c>
      <c r="D382" s="19">
        <v>46082</v>
      </c>
      <c r="E382" t="s">
        <v>340</v>
      </c>
      <c r="F382" t="s">
        <v>25</v>
      </c>
      <c r="G382" s="16">
        <v>40</v>
      </c>
      <c r="H382" s="16"/>
      <c r="I382" t="s">
        <v>327</v>
      </c>
    </row>
    <row r="383" spans="2:9" ht="15" customHeight="1" x14ac:dyDescent="0.25">
      <c r="B383">
        <v>375</v>
      </c>
      <c r="C383" s="5" t="s">
        <v>122</v>
      </c>
      <c r="D383" s="19">
        <v>46082</v>
      </c>
      <c r="E383" t="s">
        <v>340</v>
      </c>
      <c r="F383" t="s">
        <v>7</v>
      </c>
      <c r="G383" s="16">
        <v>900</v>
      </c>
      <c r="H383" s="16"/>
      <c r="I383" t="s">
        <v>345</v>
      </c>
    </row>
    <row r="384" spans="2:9" ht="15" customHeight="1" x14ac:dyDescent="0.25">
      <c r="B384">
        <v>376</v>
      </c>
      <c r="C384" s="5" t="s">
        <v>122</v>
      </c>
      <c r="D384" s="19">
        <v>46082</v>
      </c>
      <c r="E384" t="s">
        <v>341</v>
      </c>
      <c r="F384" t="s">
        <v>25</v>
      </c>
      <c r="G384" s="16">
        <v>300</v>
      </c>
      <c r="H384" s="16"/>
      <c r="I384" t="s">
        <v>345</v>
      </c>
    </row>
    <row r="385" spans="2:9" ht="15" customHeight="1" x14ac:dyDescent="0.25">
      <c r="B385">
        <v>377</v>
      </c>
      <c r="C385" s="5" t="s">
        <v>122</v>
      </c>
      <c r="D385" s="19">
        <v>46082</v>
      </c>
      <c r="E385" t="s">
        <v>158</v>
      </c>
      <c r="F385" t="s">
        <v>8</v>
      </c>
      <c r="G385" s="16">
        <v>300</v>
      </c>
      <c r="H385" s="16"/>
      <c r="I385" t="s">
        <v>345</v>
      </c>
    </row>
    <row r="386" spans="2:9" ht="15" customHeight="1" x14ac:dyDescent="0.25">
      <c r="B386">
        <v>378</v>
      </c>
      <c r="C386" s="5" t="s">
        <v>122</v>
      </c>
      <c r="D386" s="19">
        <v>46082</v>
      </c>
      <c r="E386" t="s">
        <v>147</v>
      </c>
      <c r="F386" t="s">
        <v>25</v>
      </c>
      <c r="G386" s="16">
        <v>60</v>
      </c>
      <c r="H386" s="16"/>
      <c r="I386" t="s">
        <v>345</v>
      </c>
    </row>
    <row r="387" spans="2:9" ht="15" customHeight="1" x14ac:dyDescent="0.25">
      <c r="B387">
        <v>379</v>
      </c>
      <c r="C387" s="5" t="s">
        <v>122</v>
      </c>
      <c r="D387" s="19">
        <v>46082</v>
      </c>
      <c r="E387" t="s">
        <v>343</v>
      </c>
      <c r="F387" t="s">
        <v>25</v>
      </c>
      <c r="G387" s="16">
        <v>40</v>
      </c>
      <c r="H387" s="16"/>
      <c r="I387" t="s">
        <v>345</v>
      </c>
    </row>
    <row r="388" spans="2:9" ht="15" customHeight="1" x14ac:dyDescent="0.25">
      <c r="B388">
        <v>380</v>
      </c>
      <c r="C388" s="5" t="s">
        <v>122</v>
      </c>
      <c r="D388" s="19">
        <v>46082</v>
      </c>
      <c r="E388" t="s">
        <v>221</v>
      </c>
      <c r="F388" t="s">
        <v>25</v>
      </c>
      <c r="G388" s="16">
        <v>100</v>
      </c>
      <c r="H388" s="16"/>
      <c r="I388" t="s">
        <v>345</v>
      </c>
    </row>
    <row r="389" spans="2:9" ht="15" customHeight="1" x14ac:dyDescent="0.25">
      <c r="B389">
        <v>381</v>
      </c>
      <c r="C389" s="5" t="s">
        <v>122</v>
      </c>
      <c r="D389" s="19">
        <v>46082</v>
      </c>
      <c r="E389" t="s">
        <v>344</v>
      </c>
      <c r="F389" t="s">
        <v>7</v>
      </c>
      <c r="G389" s="16">
        <v>20</v>
      </c>
      <c r="H389" s="16"/>
      <c r="I389" t="s">
        <v>345</v>
      </c>
    </row>
    <row r="390" spans="2:9" ht="15" customHeight="1" x14ac:dyDescent="0.25">
      <c r="B390">
        <v>382</v>
      </c>
      <c r="C390" s="5" t="s">
        <v>122</v>
      </c>
      <c r="D390" s="19">
        <v>46082</v>
      </c>
      <c r="E390" t="s">
        <v>346</v>
      </c>
      <c r="F390" t="s">
        <v>26</v>
      </c>
      <c r="G390" s="16">
        <v>40</v>
      </c>
      <c r="H390" s="16"/>
    </row>
    <row r="391" spans="2:9" ht="15" customHeight="1" x14ac:dyDescent="0.25">
      <c r="B391">
        <v>383</v>
      </c>
      <c r="C391" s="5" t="s">
        <v>122</v>
      </c>
      <c r="D391" s="19">
        <v>46082</v>
      </c>
      <c r="E391" t="s">
        <v>347</v>
      </c>
      <c r="F391" t="s">
        <v>24</v>
      </c>
      <c r="G391" s="16">
        <v>1200</v>
      </c>
      <c r="H391" s="16"/>
    </row>
    <row r="392" spans="2:9" ht="15" customHeight="1" x14ac:dyDescent="0.25">
      <c r="B392">
        <v>384</v>
      </c>
      <c r="C392" s="5" t="s">
        <v>122</v>
      </c>
      <c r="D392" s="19">
        <v>46082</v>
      </c>
      <c r="E392" t="s">
        <v>347</v>
      </c>
      <c r="F392" t="s">
        <v>24</v>
      </c>
      <c r="G392" s="16">
        <v>1500</v>
      </c>
      <c r="H392" s="16"/>
    </row>
    <row r="393" spans="2:9" ht="15" customHeight="1" x14ac:dyDescent="0.25">
      <c r="B393">
        <v>385</v>
      </c>
      <c r="C393" s="5" t="s">
        <v>122</v>
      </c>
      <c r="D393" s="19">
        <v>46082</v>
      </c>
      <c r="E393" t="s">
        <v>348</v>
      </c>
      <c r="F393" t="s">
        <v>10</v>
      </c>
      <c r="G393" s="16">
        <v>20</v>
      </c>
      <c r="H393" s="16"/>
    </row>
    <row r="394" spans="2:9" ht="15" customHeight="1" x14ac:dyDescent="0.25">
      <c r="B394">
        <v>386</v>
      </c>
      <c r="C394" s="5" t="s">
        <v>122</v>
      </c>
      <c r="D394" s="19">
        <v>46082</v>
      </c>
      <c r="E394" t="s">
        <v>349</v>
      </c>
      <c r="F394" t="s">
        <v>25</v>
      </c>
      <c r="G394" s="16">
        <v>220</v>
      </c>
      <c r="H394" s="16"/>
    </row>
    <row r="395" spans="2:9" ht="15" customHeight="1" x14ac:dyDescent="0.25">
      <c r="B395">
        <v>387</v>
      </c>
      <c r="C395" s="5" t="s">
        <v>122</v>
      </c>
      <c r="D395" s="19">
        <v>46082</v>
      </c>
      <c r="E395" t="s">
        <v>350</v>
      </c>
      <c r="F395" t="s">
        <v>25</v>
      </c>
      <c r="G395" s="16">
        <v>75</v>
      </c>
      <c r="H395" s="16"/>
    </row>
    <row r="396" spans="2:9" ht="15" customHeight="1" x14ac:dyDescent="0.25">
      <c r="B396">
        <v>388</v>
      </c>
      <c r="C396" s="5" t="s">
        <v>122</v>
      </c>
      <c r="D396" s="19">
        <v>46082</v>
      </c>
      <c r="E396" t="s">
        <v>351</v>
      </c>
      <c r="F396" t="s">
        <v>25</v>
      </c>
      <c r="G396" s="16">
        <v>378</v>
      </c>
      <c r="H396" s="16"/>
    </row>
    <row r="397" spans="2:9" ht="15" customHeight="1" x14ac:dyDescent="0.25">
      <c r="B397">
        <v>389</v>
      </c>
      <c r="C397" s="5" t="s">
        <v>122</v>
      </c>
      <c r="D397" s="19">
        <v>46082</v>
      </c>
      <c r="E397" t="s">
        <v>368</v>
      </c>
      <c r="F397" t="s">
        <v>21</v>
      </c>
      <c r="G397" s="16">
        <v>200</v>
      </c>
      <c r="H397" s="16"/>
    </row>
    <row r="398" spans="2:9" ht="15" customHeight="1" x14ac:dyDescent="0.25">
      <c r="B398">
        <v>390</v>
      </c>
      <c r="C398" s="5" t="s">
        <v>123</v>
      </c>
      <c r="D398" s="19">
        <v>46082</v>
      </c>
      <c r="E398" t="s">
        <v>185</v>
      </c>
      <c r="F398" t="s">
        <v>84</v>
      </c>
      <c r="G398" s="16">
        <v>1000</v>
      </c>
      <c r="H398" s="16"/>
    </row>
    <row r="399" spans="2:9" ht="15" customHeight="1" x14ac:dyDescent="0.25">
      <c r="B399">
        <v>391</v>
      </c>
      <c r="C399" s="5" t="s">
        <v>123</v>
      </c>
      <c r="D399" s="19">
        <v>46082</v>
      </c>
      <c r="E399" t="s">
        <v>42</v>
      </c>
      <c r="F399" t="s">
        <v>86</v>
      </c>
      <c r="G399" s="16"/>
      <c r="H399" s="16">
        <v>43500</v>
      </c>
    </row>
    <row r="400" spans="2:9" ht="15" customHeight="1" x14ac:dyDescent="0.25">
      <c r="B400">
        <v>392</v>
      </c>
      <c r="C400" s="5" t="s">
        <v>123</v>
      </c>
      <c r="D400" s="19">
        <v>46082</v>
      </c>
      <c r="E400" t="s">
        <v>339</v>
      </c>
      <c r="F400" t="s">
        <v>36</v>
      </c>
      <c r="G400" s="16">
        <v>3000</v>
      </c>
      <c r="H400" s="16"/>
    </row>
    <row r="401" spans="2:9" ht="15" customHeight="1" x14ac:dyDescent="0.25">
      <c r="B401">
        <v>393</v>
      </c>
      <c r="C401" s="5" t="s">
        <v>123</v>
      </c>
      <c r="D401" s="19">
        <v>46082</v>
      </c>
      <c r="E401" t="s">
        <v>352</v>
      </c>
      <c r="F401" t="s">
        <v>7</v>
      </c>
      <c r="G401" s="16">
        <v>496</v>
      </c>
      <c r="H401" s="16"/>
    </row>
    <row r="402" spans="2:9" ht="15" customHeight="1" x14ac:dyDescent="0.25">
      <c r="B402">
        <v>394</v>
      </c>
      <c r="C402" s="5" t="s">
        <v>123</v>
      </c>
      <c r="D402" s="19">
        <v>46082</v>
      </c>
      <c r="E402" t="s">
        <v>353</v>
      </c>
      <c r="F402" t="s">
        <v>24</v>
      </c>
      <c r="G402" s="16">
        <v>1829</v>
      </c>
      <c r="H402" s="16"/>
    </row>
    <row r="403" spans="2:9" ht="15" customHeight="1" x14ac:dyDescent="0.25">
      <c r="B403">
        <v>395</v>
      </c>
      <c r="C403" s="5" t="s">
        <v>123</v>
      </c>
      <c r="D403" s="19">
        <v>46082</v>
      </c>
      <c r="E403" t="s">
        <v>354</v>
      </c>
      <c r="F403" t="s">
        <v>7</v>
      </c>
      <c r="G403" s="16">
        <v>157</v>
      </c>
      <c r="H403" s="16"/>
    </row>
    <row r="404" spans="2:9" ht="15" customHeight="1" x14ac:dyDescent="0.25">
      <c r="B404">
        <v>396</v>
      </c>
      <c r="C404" s="5" t="s">
        <v>123</v>
      </c>
      <c r="D404" s="19">
        <v>46082</v>
      </c>
      <c r="E404" t="s">
        <v>342</v>
      </c>
      <c r="F404" t="s">
        <v>25</v>
      </c>
      <c r="G404" s="16">
        <v>85</v>
      </c>
      <c r="H404" s="16"/>
      <c r="I404" t="s">
        <v>345</v>
      </c>
    </row>
    <row r="405" spans="2:9" ht="15" customHeight="1" x14ac:dyDescent="0.25">
      <c r="B405">
        <v>397</v>
      </c>
      <c r="C405" s="5" t="s">
        <v>123</v>
      </c>
      <c r="D405" s="19">
        <v>46082</v>
      </c>
      <c r="E405" t="s">
        <v>355</v>
      </c>
      <c r="F405" t="s">
        <v>14</v>
      </c>
      <c r="G405" s="16">
        <v>150</v>
      </c>
      <c r="H405" s="16"/>
    </row>
    <row r="406" spans="2:9" ht="15" customHeight="1" x14ac:dyDescent="0.25">
      <c r="B406">
        <v>398</v>
      </c>
      <c r="C406" s="5" t="s">
        <v>123</v>
      </c>
      <c r="D406" s="19">
        <v>46082</v>
      </c>
      <c r="E406" t="s">
        <v>356</v>
      </c>
      <c r="F406" t="s">
        <v>14</v>
      </c>
      <c r="G406" s="16">
        <v>280</v>
      </c>
      <c r="H406" s="16"/>
    </row>
    <row r="407" spans="2:9" ht="15" customHeight="1" x14ac:dyDescent="0.25">
      <c r="B407">
        <v>399</v>
      </c>
      <c r="C407" s="5" t="s">
        <v>123</v>
      </c>
      <c r="D407" s="19">
        <v>46082</v>
      </c>
      <c r="E407" t="s">
        <v>356</v>
      </c>
      <c r="F407" t="s">
        <v>26</v>
      </c>
      <c r="G407" s="16">
        <v>1000</v>
      </c>
      <c r="H407" s="16"/>
    </row>
    <row r="408" spans="2:9" ht="15" customHeight="1" x14ac:dyDescent="0.25">
      <c r="B408">
        <v>400</v>
      </c>
      <c r="C408" s="5" t="s">
        <v>123</v>
      </c>
      <c r="D408" s="19">
        <v>46082</v>
      </c>
      <c r="E408" t="s">
        <v>311</v>
      </c>
      <c r="F408" t="s">
        <v>25</v>
      </c>
      <c r="G408" s="16">
        <v>50</v>
      </c>
      <c r="H408" s="16"/>
    </row>
    <row r="409" spans="2:9" ht="15" customHeight="1" x14ac:dyDescent="0.25">
      <c r="B409">
        <v>401</v>
      </c>
      <c r="C409" s="5" t="s">
        <v>123</v>
      </c>
      <c r="D409" s="19">
        <v>46082</v>
      </c>
      <c r="E409" t="s">
        <v>357</v>
      </c>
      <c r="F409" t="s">
        <v>24</v>
      </c>
      <c r="G409" s="16">
        <v>850</v>
      </c>
      <c r="H409" s="16"/>
    </row>
    <row r="410" spans="2:9" ht="15" customHeight="1" x14ac:dyDescent="0.25">
      <c r="B410">
        <v>402</v>
      </c>
      <c r="C410" s="5" t="s">
        <v>123</v>
      </c>
      <c r="D410" s="19">
        <v>46082</v>
      </c>
      <c r="E410" t="s">
        <v>358</v>
      </c>
      <c r="F410" t="s">
        <v>25</v>
      </c>
      <c r="G410" s="16">
        <v>60</v>
      </c>
      <c r="H410" s="16"/>
    </row>
    <row r="411" spans="2:9" ht="15" customHeight="1" x14ac:dyDescent="0.25">
      <c r="B411">
        <v>403</v>
      </c>
      <c r="C411" s="5" t="s">
        <v>122</v>
      </c>
      <c r="D411" s="19">
        <v>46083</v>
      </c>
      <c r="E411" t="s">
        <v>359</v>
      </c>
      <c r="F411" t="s">
        <v>12</v>
      </c>
      <c r="G411" s="16">
        <v>500</v>
      </c>
      <c r="H411" s="16"/>
    </row>
    <row r="412" spans="2:9" ht="15" customHeight="1" x14ac:dyDescent="0.25">
      <c r="B412">
        <v>404</v>
      </c>
      <c r="C412" s="5" t="s">
        <v>122</v>
      </c>
      <c r="D412" s="19">
        <v>46083</v>
      </c>
      <c r="E412" t="s">
        <v>152</v>
      </c>
      <c r="F412" t="s">
        <v>14</v>
      </c>
      <c r="G412" s="16">
        <v>231</v>
      </c>
      <c r="H412" s="16"/>
    </row>
    <row r="413" spans="2:9" ht="15" customHeight="1" x14ac:dyDescent="0.25">
      <c r="B413">
        <v>405</v>
      </c>
      <c r="C413" s="5" t="s">
        <v>122</v>
      </c>
      <c r="D413" s="19">
        <v>46083</v>
      </c>
      <c r="E413" t="s">
        <v>369</v>
      </c>
      <c r="F413" t="s">
        <v>25</v>
      </c>
      <c r="G413" s="16">
        <v>300</v>
      </c>
      <c r="H413" s="16"/>
    </row>
    <row r="414" spans="2:9" ht="15" customHeight="1" x14ac:dyDescent="0.25">
      <c r="B414">
        <v>406</v>
      </c>
      <c r="C414" s="5" t="s">
        <v>123</v>
      </c>
      <c r="D414" s="19">
        <v>46083</v>
      </c>
      <c r="E414" t="s">
        <v>124</v>
      </c>
      <c r="F414" t="s">
        <v>36</v>
      </c>
      <c r="G414" s="16">
        <v>10000</v>
      </c>
      <c r="H414" s="16"/>
    </row>
    <row r="415" spans="2:9" ht="15" customHeight="1" x14ac:dyDescent="0.25">
      <c r="B415">
        <v>407</v>
      </c>
      <c r="C415" s="5" t="s">
        <v>122</v>
      </c>
      <c r="D415" s="19">
        <v>46084</v>
      </c>
      <c r="E415" t="s">
        <v>308</v>
      </c>
      <c r="F415" t="s">
        <v>21</v>
      </c>
      <c r="G415" s="16">
        <v>48</v>
      </c>
      <c r="H415" s="16"/>
    </row>
    <row r="416" spans="2:9" ht="15" customHeight="1" x14ac:dyDescent="0.25">
      <c r="B416">
        <v>408</v>
      </c>
      <c r="C416" s="5" t="s">
        <v>122</v>
      </c>
      <c r="D416" s="19">
        <v>46084</v>
      </c>
      <c r="E416" t="s">
        <v>144</v>
      </c>
      <c r="F416" t="s">
        <v>21</v>
      </c>
      <c r="G416" s="16">
        <v>120</v>
      </c>
      <c r="H416" s="16"/>
    </row>
    <row r="417" spans="2:8" ht="15" customHeight="1" x14ac:dyDescent="0.25">
      <c r="B417">
        <v>409</v>
      </c>
      <c r="C417" s="5" t="s">
        <v>122</v>
      </c>
      <c r="D417" s="19">
        <v>46084</v>
      </c>
      <c r="E417" t="s">
        <v>222</v>
      </c>
      <c r="F417" t="s">
        <v>21</v>
      </c>
      <c r="G417" s="16">
        <v>32</v>
      </c>
      <c r="H417" s="16"/>
    </row>
    <row r="418" spans="2:8" ht="15" customHeight="1" x14ac:dyDescent="0.25">
      <c r="B418">
        <v>410</v>
      </c>
      <c r="C418" s="5" t="s">
        <v>122</v>
      </c>
      <c r="D418" s="19">
        <v>46084</v>
      </c>
      <c r="E418" t="s">
        <v>360</v>
      </c>
      <c r="F418" t="s">
        <v>21</v>
      </c>
      <c r="G418" s="16">
        <v>232</v>
      </c>
      <c r="H418" s="16"/>
    </row>
    <row r="419" spans="2:8" ht="15" customHeight="1" x14ac:dyDescent="0.25">
      <c r="B419">
        <v>411</v>
      </c>
      <c r="C419" s="5" t="s">
        <v>122</v>
      </c>
      <c r="D419" s="19">
        <v>46084</v>
      </c>
      <c r="E419" t="s">
        <v>372</v>
      </c>
      <c r="F419" t="s">
        <v>15</v>
      </c>
      <c r="G419" s="16">
        <v>1000</v>
      </c>
      <c r="H419" s="16"/>
    </row>
    <row r="420" spans="2:8" ht="15" customHeight="1" x14ac:dyDescent="0.25">
      <c r="B420">
        <v>412</v>
      </c>
      <c r="C420" s="5" t="s">
        <v>123</v>
      </c>
      <c r="D420" s="19">
        <v>46084</v>
      </c>
      <c r="E420" t="s">
        <v>25</v>
      </c>
      <c r="F420" t="s">
        <v>25</v>
      </c>
      <c r="G420" s="16">
        <v>45</v>
      </c>
      <c r="H420" s="16"/>
    </row>
    <row r="421" spans="2:8" ht="15" customHeight="1" x14ac:dyDescent="0.25">
      <c r="B421">
        <v>413</v>
      </c>
      <c r="C421" s="5" t="s">
        <v>123</v>
      </c>
      <c r="D421" s="19">
        <v>46084</v>
      </c>
      <c r="E421" t="s">
        <v>139</v>
      </c>
      <c r="F421" t="s">
        <v>3</v>
      </c>
      <c r="G421" s="16">
        <v>15500</v>
      </c>
      <c r="H421" s="16"/>
    </row>
    <row r="422" spans="2:8" ht="15" customHeight="1" x14ac:dyDescent="0.25">
      <c r="B422">
        <v>414</v>
      </c>
      <c r="C422" s="5" t="s">
        <v>123</v>
      </c>
      <c r="D422" s="19">
        <v>46084</v>
      </c>
      <c r="E422" t="s">
        <v>81</v>
      </c>
      <c r="F422" t="s">
        <v>81</v>
      </c>
      <c r="G422" s="16">
        <v>250</v>
      </c>
      <c r="H422" s="16"/>
    </row>
    <row r="423" spans="2:8" ht="15" customHeight="1" x14ac:dyDescent="0.25">
      <c r="B423">
        <v>415</v>
      </c>
      <c r="C423" s="5" t="s">
        <v>123</v>
      </c>
      <c r="D423" s="19">
        <v>46084</v>
      </c>
      <c r="E423" t="s">
        <v>6</v>
      </c>
      <c r="F423" t="s">
        <v>6</v>
      </c>
      <c r="G423" s="16">
        <v>645</v>
      </c>
      <c r="H423" s="16"/>
    </row>
    <row r="424" spans="2:8" ht="15" customHeight="1" x14ac:dyDescent="0.25">
      <c r="B424">
        <v>416</v>
      </c>
      <c r="C424" s="5" t="s">
        <v>123</v>
      </c>
      <c r="D424" s="19">
        <v>46085</v>
      </c>
      <c r="E424" t="s">
        <v>141</v>
      </c>
      <c r="F424" t="s">
        <v>21</v>
      </c>
      <c r="G424" s="16">
        <v>303</v>
      </c>
      <c r="H424" s="16"/>
    </row>
    <row r="425" spans="2:8" ht="15" customHeight="1" x14ac:dyDescent="0.25">
      <c r="B425">
        <v>417</v>
      </c>
      <c r="C425" s="5" t="s">
        <v>123</v>
      </c>
      <c r="D425" s="19">
        <v>46086</v>
      </c>
      <c r="E425" t="s">
        <v>374</v>
      </c>
      <c r="F425" t="s">
        <v>45</v>
      </c>
      <c r="G425" s="16"/>
      <c r="H425" s="16">
        <v>1050</v>
      </c>
    </row>
    <row r="426" spans="2:8" ht="15" customHeight="1" x14ac:dyDescent="0.25">
      <c r="B426">
        <v>418</v>
      </c>
      <c r="C426" s="5" t="s">
        <v>122</v>
      </c>
      <c r="D426" s="19">
        <v>46087</v>
      </c>
      <c r="E426" t="s">
        <v>136</v>
      </c>
      <c r="F426" t="s">
        <v>21</v>
      </c>
      <c r="G426" s="16">
        <v>1000.2</v>
      </c>
      <c r="H426" s="16"/>
    </row>
    <row r="427" spans="2:8" ht="15" customHeight="1" x14ac:dyDescent="0.25">
      <c r="B427">
        <v>419</v>
      </c>
      <c r="C427" s="5" t="s">
        <v>122</v>
      </c>
      <c r="D427" s="19">
        <v>46087</v>
      </c>
      <c r="E427" t="s">
        <v>361</v>
      </c>
      <c r="F427" t="s">
        <v>7</v>
      </c>
      <c r="G427" s="16">
        <v>1008</v>
      </c>
      <c r="H427" s="16"/>
    </row>
    <row r="428" spans="2:8" ht="15" customHeight="1" x14ac:dyDescent="0.25">
      <c r="B428">
        <v>420</v>
      </c>
      <c r="C428" s="5" t="s">
        <v>123</v>
      </c>
      <c r="D428" s="19">
        <v>46087</v>
      </c>
      <c r="E428" t="s">
        <v>207</v>
      </c>
      <c r="F428" t="s">
        <v>25</v>
      </c>
      <c r="G428" s="16">
        <v>808</v>
      </c>
      <c r="H428" s="16"/>
    </row>
    <row r="429" spans="2:8" ht="15" customHeight="1" x14ac:dyDescent="0.25">
      <c r="B429">
        <v>421</v>
      </c>
      <c r="C429" s="5" t="s">
        <v>122</v>
      </c>
      <c r="D429" s="19">
        <v>46088</v>
      </c>
      <c r="E429" t="s">
        <v>373</v>
      </c>
      <c r="F429" t="s">
        <v>84</v>
      </c>
      <c r="G429" s="16">
        <v>4621</v>
      </c>
      <c r="H429" s="16"/>
    </row>
    <row r="430" spans="2:8" ht="15" customHeight="1" x14ac:dyDescent="0.25">
      <c r="B430">
        <v>422</v>
      </c>
      <c r="C430" s="5" t="s">
        <v>122</v>
      </c>
      <c r="D430" s="19">
        <v>46089</v>
      </c>
      <c r="E430" t="s">
        <v>171</v>
      </c>
      <c r="F430" t="s">
        <v>21</v>
      </c>
      <c r="G430" s="16">
        <v>800</v>
      </c>
      <c r="H430" s="16"/>
    </row>
    <row r="431" spans="2:8" ht="15" customHeight="1" x14ac:dyDescent="0.25">
      <c r="B431">
        <v>423</v>
      </c>
      <c r="C431" s="5" t="s">
        <v>122</v>
      </c>
      <c r="D431" s="19">
        <v>46089</v>
      </c>
      <c r="E431" t="s">
        <v>362</v>
      </c>
      <c r="F431" t="s">
        <v>21</v>
      </c>
      <c r="G431" s="16">
        <v>65</v>
      </c>
      <c r="H431" s="16"/>
    </row>
    <row r="432" spans="2:8" ht="15" customHeight="1" x14ac:dyDescent="0.25">
      <c r="B432">
        <v>424</v>
      </c>
      <c r="C432" s="5" t="s">
        <v>122</v>
      </c>
      <c r="D432" s="19">
        <v>46089</v>
      </c>
      <c r="E432" t="s">
        <v>144</v>
      </c>
      <c r="F432" t="s">
        <v>21</v>
      </c>
      <c r="G432" s="16">
        <v>160</v>
      </c>
      <c r="H432" s="16"/>
    </row>
    <row r="433" spans="2:9" ht="15" customHeight="1" x14ac:dyDescent="0.25">
      <c r="B433">
        <v>425</v>
      </c>
      <c r="C433" s="5" t="s">
        <v>122</v>
      </c>
      <c r="D433" s="19">
        <v>46089</v>
      </c>
      <c r="E433" t="s">
        <v>144</v>
      </c>
      <c r="F433" t="s">
        <v>21</v>
      </c>
      <c r="G433" s="16">
        <v>160</v>
      </c>
      <c r="H433" s="16"/>
    </row>
    <row r="434" spans="2:9" ht="15" customHeight="1" x14ac:dyDescent="0.25">
      <c r="B434">
        <v>426</v>
      </c>
      <c r="C434" s="5" t="s">
        <v>122</v>
      </c>
      <c r="D434" s="19">
        <v>46090</v>
      </c>
      <c r="E434" t="s">
        <v>156</v>
      </c>
      <c r="F434" t="s">
        <v>10</v>
      </c>
      <c r="G434" s="16">
        <v>380</v>
      </c>
      <c r="H434" s="16"/>
    </row>
    <row r="435" spans="2:9" ht="15" customHeight="1" x14ac:dyDescent="0.25">
      <c r="B435">
        <v>427</v>
      </c>
      <c r="C435" s="5" t="s">
        <v>122</v>
      </c>
      <c r="D435" s="19">
        <v>46090</v>
      </c>
      <c r="E435" t="s">
        <v>128</v>
      </c>
      <c r="F435" t="s">
        <v>25</v>
      </c>
      <c r="G435" s="16">
        <v>95</v>
      </c>
      <c r="H435" s="16"/>
    </row>
    <row r="436" spans="2:9" ht="15" customHeight="1" x14ac:dyDescent="0.25">
      <c r="B436">
        <v>428</v>
      </c>
      <c r="C436" s="5" t="s">
        <v>122</v>
      </c>
      <c r="D436" s="19">
        <v>46090</v>
      </c>
      <c r="E436" t="s">
        <v>370</v>
      </c>
      <c r="F436" t="s">
        <v>20</v>
      </c>
      <c r="G436" s="16">
        <v>100</v>
      </c>
      <c r="H436" s="16"/>
    </row>
    <row r="437" spans="2:9" ht="15" customHeight="1" x14ac:dyDescent="0.25">
      <c r="B437">
        <v>429</v>
      </c>
      <c r="C437" s="5" t="s">
        <v>122</v>
      </c>
      <c r="D437" s="19">
        <v>46091</v>
      </c>
      <c r="E437" t="s">
        <v>363</v>
      </c>
      <c r="F437" t="s">
        <v>7</v>
      </c>
      <c r="G437" s="16">
        <v>119</v>
      </c>
      <c r="H437" s="16"/>
    </row>
    <row r="438" spans="2:9" ht="15" customHeight="1" x14ac:dyDescent="0.25">
      <c r="B438">
        <v>430</v>
      </c>
      <c r="C438" s="5" t="s">
        <v>122</v>
      </c>
      <c r="D438" s="19">
        <v>46091</v>
      </c>
      <c r="E438" t="s">
        <v>152</v>
      </c>
      <c r="F438" t="s">
        <v>14</v>
      </c>
      <c r="G438" s="16">
        <v>60</v>
      </c>
      <c r="H438" s="16"/>
    </row>
    <row r="439" spans="2:9" ht="15" customHeight="1" x14ac:dyDescent="0.25">
      <c r="B439">
        <v>431</v>
      </c>
      <c r="C439" s="5" t="s">
        <v>122</v>
      </c>
      <c r="D439" s="19">
        <v>46091</v>
      </c>
      <c r="E439" t="s">
        <v>364</v>
      </c>
      <c r="F439" t="s">
        <v>25</v>
      </c>
      <c r="G439" s="16">
        <v>380</v>
      </c>
      <c r="H439" s="16"/>
    </row>
    <row r="440" spans="2:9" ht="15" customHeight="1" x14ac:dyDescent="0.25">
      <c r="B440">
        <v>432</v>
      </c>
      <c r="C440" s="5" t="s">
        <v>122</v>
      </c>
      <c r="D440" s="19">
        <v>46091</v>
      </c>
      <c r="E440" t="s">
        <v>364</v>
      </c>
      <c r="F440" t="s">
        <v>25</v>
      </c>
      <c r="G440" s="16">
        <v>70</v>
      </c>
      <c r="H440" s="16"/>
    </row>
    <row r="441" spans="2:9" ht="15" customHeight="1" x14ac:dyDescent="0.25">
      <c r="B441">
        <v>433</v>
      </c>
      <c r="C441" s="5" t="s">
        <v>122</v>
      </c>
      <c r="D441" s="19">
        <v>46091</v>
      </c>
      <c r="E441" t="s">
        <v>364</v>
      </c>
      <c r="F441" t="s">
        <v>25</v>
      </c>
      <c r="G441" s="16">
        <v>80</v>
      </c>
      <c r="H441" s="16"/>
    </row>
    <row r="442" spans="2:9" ht="15" customHeight="1" x14ac:dyDescent="0.25">
      <c r="B442">
        <v>434</v>
      </c>
      <c r="C442" s="5" t="s">
        <v>122</v>
      </c>
      <c r="D442" s="19">
        <v>46091</v>
      </c>
      <c r="E442" t="s">
        <v>358</v>
      </c>
      <c r="F442" t="s">
        <v>25</v>
      </c>
      <c r="G442" s="16">
        <v>30</v>
      </c>
      <c r="H442" s="16"/>
    </row>
    <row r="443" spans="2:9" ht="15" customHeight="1" x14ac:dyDescent="0.25">
      <c r="B443">
        <v>435</v>
      </c>
      <c r="C443" s="5" t="s">
        <v>122</v>
      </c>
      <c r="D443" s="19">
        <v>46092</v>
      </c>
      <c r="E443" t="s">
        <v>156</v>
      </c>
      <c r="F443" t="s">
        <v>10</v>
      </c>
      <c r="G443" s="16">
        <v>391</v>
      </c>
      <c r="H443" s="16"/>
    </row>
    <row r="444" spans="2:9" ht="15" customHeight="1" x14ac:dyDescent="0.25">
      <c r="B444">
        <v>436</v>
      </c>
      <c r="C444" s="5" t="s">
        <v>122</v>
      </c>
      <c r="D444" s="19">
        <v>46092</v>
      </c>
      <c r="E444" t="s">
        <v>365</v>
      </c>
      <c r="F444" t="s">
        <v>25</v>
      </c>
      <c r="G444" s="16">
        <v>135</v>
      </c>
      <c r="H444" s="16"/>
      <c r="I444" t="s">
        <v>366</v>
      </c>
    </row>
    <row r="445" spans="2:9" ht="15" customHeight="1" x14ac:dyDescent="0.25">
      <c r="B445">
        <v>437</v>
      </c>
      <c r="C445" s="5" t="s">
        <v>122</v>
      </c>
      <c r="D445" s="19">
        <v>46092</v>
      </c>
      <c r="E445" t="s">
        <v>367</v>
      </c>
      <c r="F445" t="s">
        <v>10</v>
      </c>
      <c r="G445" s="16">
        <v>150</v>
      </c>
      <c r="H445" s="16"/>
    </row>
    <row r="446" spans="2:9" ht="15" customHeight="1" x14ac:dyDescent="0.25">
      <c r="B446">
        <v>438</v>
      </c>
      <c r="C446" s="5" t="s">
        <v>122</v>
      </c>
      <c r="D446" s="19">
        <v>46093</v>
      </c>
      <c r="E446" t="s">
        <v>371</v>
      </c>
      <c r="F446" t="s">
        <v>218</v>
      </c>
      <c r="G446" s="16">
        <v>352.82</v>
      </c>
      <c r="H446" s="16"/>
    </row>
    <row r="447" spans="2:9" ht="15" customHeight="1" x14ac:dyDescent="0.25">
      <c r="B447">
        <v>439</v>
      </c>
      <c r="C447" s="5" t="s">
        <v>122</v>
      </c>
      <c r="D447" s="19">
        <v>46093</v>
      </c>
      <c r="E447" t="s">
        <v>243</v>
      </c>
      <c r="F447" t="s">
        <v>21</v>
      </c>
      <c r="G447" s="16">
        <v>35</v>
      </c>
      <c r="H447" s="16"/>
    </row>
    <row r="448" spans="2:9" ht="15" customHeight="1" x14ac:dyDescent="0.25">
      <c r="B448">
        <v>440</v>
      </c>
      <c r="C448" s="5" t="s">
        <v>122</v>
      </c>
      <c r="D448" s="19">
        <v>46094</v>
      </c>
      <c r="E448" t="s">
        <v>136</v>
      </c>
      <c r="F448" t="s">
        <v>15</v>
      </c>
      <c r="G448" s="16">
        <v>742</v>
      </c>
      <c r="H448" s="16"/>
    </row>
    <row r="449" spans="2:8" ht="15" customHeight="1" x14ac:dyDescent="0.25">
      <c r="B449">
        <v>441</v>
      </c>
      <c r="C449" s="5" t="s">
        <v>122</v>
      </c>
      <c r="D449" s="19">
        <v>46094</v>
      </c>
      <c r="E449" t="s">
        <v>375</v>
      </c>
      <c r="F449" t="s">
        <v>15</v>
      </c>
      <c r="G449" s="16">
        <f>1033-390</f>
        <v>643</v>
      </c>
      <c r="H449" s="16"/>
    </row>
    <row r="450" spans="2:8" ht="15" customHeight="1" x14ac:dyDescent="0.25">
      <c r="B450">
        <v>442</v>
      </c>
      <c r="C450" s="5" t="s">
        <v>122</v>
      </c>
      <c r="D450" s="19">
        <v>46094</v>
      </c>
      <c r="E450" t="s">
        <v>376</v>
      </c>
      <c r="F450" t="s">
        <v>10</v>
      </c>
      <c r="G450" s="16">
        <v>235</v>
      </c>
      <c r="H450" s="16"/>
    </row>
    <row r="451" spans="2:8" ht="15" customHeight="1" x14ac:dyDescent="0.25">
      <c r="B451">
        <v>443</v>
      </c>
      <c r="C451" s="5" t="s">
        <v>122</v>
      </c>
      <c r="D451" s="19">
        <v>46094</v>
      </c>
      <c r="E451" t="s">
        <v>144</v>
      </c>
      <c r="F451" t="s">
        <v>21</v>
      </c>
      <c r="G451" s="16">
        <v>120</v>
      </c>
      <c r="H451" s="16"/>
    </row>
    <row r="452" spans="2:8" ht="15" customHeight="1" x14ac:dyDescent="0.25">
      <c r="B452">
        <v>444</v>
      </c>
      <c r="C452" s="5" t="s">
        <v>122</v>
      </c>
      <c r="D452" s="19">
        <v>46095</v>
      </c>
      <c r="E452" t="s">
        <v>320</v>
      </c>
      <c r="F452" t="s">
        <v>25</v>
      </c>
      <c r="G452" s="16">
        <v>60</v>
      </c>
      <c r="H452" s="16"/>
    </row>
    <row r="453" spans="2:8" ht="15" customHeight="1" x14ac:dyDescent="0.25">
      <c r="B453">
        <v>445</v>
      </c>
      <c r="C453" s="5" t="s">
        <v>122</v>
      </c>
      <c r="D453" s="19">
        <v>46095</v>
      </c>
      <c r="E453" t="s">
        <v>379</v>
      </c>
      <c r="F453" t="s">
        <v>21</v>
      </c>
      <c r="G453" s="16">
        <v>100</v>
      </c>
      <c r="H453" s="16"/>
    </row>
    <row r="454" spans="2:8" ht="15" customHeight="1" x14ac:dyDescent="0.25">
      <c r="B454">
        <v>446</v>
      </c>
      <c r="C454" s="5" t="s">
        <v>123</v>
      </c>
      <c r="D454" s="19">
        <v>46095</v>
      </c>
      <c r="E454" t="s">
        <v>293</v>
      </c>
      <c r="F454" t="s">
        <v>25</v>
      </c>
      <c r="G454" s="16">
        <v>85</v>
      </c>
      <c r="H454" s="16"/>
    </row>
    <row r="455" spans="2:8" ht="15" customHeight="1" x14ac:dyDescent="0.25">
      <c r="B455">
        <v>447</v>
      </c>
      <c r="C455" s="5" t="s">
        <v>123</v>
      </c>
      <c r="D455" s="19">
        <v>46095</v>
      </c>
      <c r="E455" t="s">
        <v>386</v>
      </c>
      <c r="F455" t="s">
        <v>10</v>
      </c>
      <c r="G455" s="16">
        <v>50</v>
      </c>
      <c r="H455" s="16"/>
    </row>
    <row r="456" spans="2:8" ht="15" customHeight="1" x14ac:dyDescent="0.25">
      <c r="B456">
        <v>448</v>
      </c>
      <c r="C456" s="5" t="s">
        <v>122</v>
      </c>
      <c r="D456" s="19">
        <v>46096</v>
      </c>
      <c r="E456" t="s">
        <v>377</v>
      </c>
      <c r="F456" t="s">
        <v>29</v>
      </c>
      <c r="G456" s="16">
        <v>900</v>
      </c>
      <c r="H456" s="16"/>
    </row>
    <row r="457" spans="2:8" ht="15" customHeight="1" x14ac:dyDescent="0.25">
      <c r="B457">
        <v>449</v>
      </c>
      <c r="C457" s="5" t="s">
        <v>122</v>
      </c>
      <c r="D457" s="19">
        <v>46096</v>
      </c>
      <c r="E457" t="s">
        <v>380</v>
      </c>
      <c r="F457" t="s">
        <v>21</v>
      </c>
      <c r="G457" s="16">
        <v>50</v>
      </c>
      <c r="H457" s="16"/>
    </row>
    <row r="458" spans="2:8" ht="15" customHeight="1" x14ac:dyDescent="0.25">
      <c r="B458">
        <v>450</v>
      </c>
      <c r="C458" s="5" t="s">
        <v>122</v>
      </c>
      <c r="D458" s="19">
        <v>46096</v>
      </c>
      <c r="E458" t="s">
        <v>348</v>
      </c>
      <c r="F458" t="s">
        <v>10</v>
      </c>
      <c r="G458" s="16">
        <v>50</v>
      </c>
      <c r="H458" s="16"/>
    </row>
    <row r="459" spans="2:8" ht="15" customHeight="1" x14ac:dyDescent="0.25">
      <c r="B459">
        <v>451</v>
      </c>
      <c r="C459" s="5" t="s">
        <v>122</v>
      </c>
      <c r="D459" s="19">
        <v>46096</v>
      </c>
      <c r="E459" t="s">
        <v>423</v>
      </c>
      <c r="F459" t="s">
        <v>10</v>
      </c>
      <c r="G459" s="16">
        <v>1063.5999999999999</v>
      </c>
      <c r="H459" s="16"/>
    </row>
    <row r="460" spans="2:8" ht="15" customHeight="1" x14ac:dyDescent="0.25">
      <c r="B460">
        <v>452</v>
      </c>
      <c r="C460" s="5" t="s">
        <v>122</v>
      </c>
      <c r="D460" s="19">
        <v>46096</v>
      </c>
      <c r="E460" t="s">
        <v>384</v>
      </c>
      <c r="F460" t="s">
        <v>15</v>
      </c>
      <c r="G460" s="16">
        <v>200</v>
      </c>
      <c r="H460" s="16"/>
    </row>
    <row r="461" spans="2:8" ht="15" customHeight="1" x14ac:dyDescent="0.25">
      <c r="B461">
        <v>453</v>
      </c>
      <c r="C461" s="5" t="s">
        <v>122</v>
      </c>
      <c r="D461" s="19">
        <v>46096</v>
      </c>
      <c r="E461" t="s">
        <v>385</v>
      </c>
      <c r="F461" t="s">
        <v>10</v>
      </c>
      <c r="G461" s="16">
        <v>40</v>
      </c>
      <c r="H461" s="16"/>
    </row>
    <row r="462" spans="2:8" ht="15" customHeight="1" x14ac:dyDescent="0.25">
      <c r="B462">
        <v>454</v>
      </c>
      <c r="C462" s="5" t="s">
        <v>122</v>
      </c>
      <c r="D462" s="19">
        <v>46097</v>
      </c>
      <c r="E462" t="s">
        <v>221</v>
      </c>
      <c r="F462" t="s">
        <v>25</v>
      </c>
      <c r="G462" s="16">
        <v>280</v>
      </c>
      <c r="H462" s="16"/>
    </row>
    <row r="463" spans="2:8" ht="15" customHeight="1" x14ac:dyDescent="0.25">
      <c r="B463">
        <v>455</v>
      </c>
      <c r="C463" s="5" t="s">
        <v>122</v>
      </c>
      <c r="D463" s="19">
        <v>46097</v>
      </c>
      <c r="E463" t="s">
        <v>378</v>
      </c>
      <c r="F463" t="s">
        <v>25</v>
      </c>
      <c r="G463" s="16">
        <v>100</v>
      </c>
      <c r="H463" s="16"/>
    </row>
    <row r="464" spans="2:8" ht="15" customHeight="1" x14ac:dyDescent="0.25">
      <c r="B464">
        <v>456</v>
      </c>
      <c r="C464" s="5" t="s">
        <v>123</v>
      </c>
      <c r="D464" s="19">
        <v>46097</v>
      </c>
      <c r="E464" t="s">
        <v>135</v>
      </c>
      <c r="F464" t="s">
        <v>25</v>
      </c>
      <c r="G464" s="16">
        <v>60</v>
      </c>
      <c r="H464" s="16"/>
    </row>
    <row r="465" spans="2:8" ht="15" customHeight="1" x14ac:dyDescent="0.25">
      <c r="B465">
        <v>457</v>
      </c>
      <c r="C465" s="5" t="s">
        <v>122</v>
      </c>
      <c r="D465" s="19">
        <v>46098</v>
      </c>
      <c r="E465" t="s">
        <v>156</v>
      </c>
      <c r="F465" t="s">
        <v>10</v>
      </c>
      <c r="G465" s="16">
        <v>370</v>
      </c>
      <c r="H465" s="16"/>
    </row>
    <row r="466" spans="2:8" ht="15" customHeight="1" x14ac:dyDescent="0.25">
      <c r="B466">
        <v>458</v>
      </c>
      <c r="C466" s="5" t="s">
        <v>122</v>
      </c>
      <c r="D466" s="19">
        <v>46098</v>
      </c>
      <c r="E466" t="s">
        <v>421</v>
      </c>
      <c r="F466" t="s">
        <v>25</v>
      </c>
      <c r="G466" s="16">
        <v>595.77</v>
      </c>
      <c r="H466" s="16"/>
    </row>
    <row r="467" spans="2:8" ht="15" customHeight="1" x14ac:dyDescent="0.25">
      <c r="B467">
        <v>459</v>
      </c>
      <c r="C467" s="5" t="s">
        <v>122</v>
      </c>
      <c r="D467" s="19">
        <v>46098</v>
      </c>
      <c r="E467" t="s">
        <v>381</v>
      </c>
      <c r="F467" t="s">
        <v>21</v>
      </c>
      <c r="G467" s="16">
        <v>25</v>
      </c>
      <c r="H467" s="16"/>
    </row>
    <row r="468" spans="2:8" ht="15" customHeight="1" x14ac:dyDescent="0.25">
      <c r="B468">
        <v>460</v>
      </c>
      <c r="C468" s="5" t="s">
        <v>122</v>
      </c>
      <c r="D468" s="19">
        <v>46098</v>
      </c>
      <c r="E468" t="s">
        <v>381</v>
      </c>
      <c r="F468" t="s">
        <v>21</v>
      </c>
      <c r="G468" s="16">
        <v>32</v>
      </c>
      <c r="H468" s="16"/>
    </row>
    <row r="469" spans="2:8" ht="15" customHeight="1" x14ac:dyDescent="0.25">
      <c r="B469">
        <v>461</v>
      </c>
      <c r="C469" s="5" t="s">
        <v>122</v>
      </c>
      <c r="D469" s="19">
        <v>46099</v>
      </c>
      <c r="E469" t="s">
        <v>381</v>
      </c>
      <c r="F469" t="s">
        <v>21</v>
      </c>
      <c r="G469" s="16">
        <v>48</v>
      </c>
      <c r="H469" s="16"/>
    </row>
    <row r="470" spans="2:8" ht="15" customHeight="1" x14ac:dyDescent="0.25">
      <c r="B470">
        <v>462</v>
      </c>
      <c r="C470" s="5" t="s">
        <v>122</v>
      </c>
      <c r="D470" s="19">
        <v>46100</v>
      </c>
      <c r="E470" t="s">
        <v>382</v>
      </c>
      <c r="F470" t="s">
        <v>36</v>
      </c>
      <c r="G470" s="16">
        <v>20000</v>
      </c>
      <c r="H470" s="16"/>
    </row>
    <row r="471" spans="2:8" ht="15" customHeight="1" x14ac:dyDescent="0.25">
      <c r="B471">
        <v>463</v>
      </c>
      <c r="C471" s="5" t="s">
        <v>122</v>
      </c>
      <c r="D471" s="19">
        <v>46100</v>
      </c>
      <c r="E471" t="s">
        <v>383</v>
      </c>
      <c r="F471" t="s">
        <v>20</v>
      </c>
      <c r="G471" s="16">
        <v>250</v>
      </c>
      <c r="H471" s="16"/>
    </row>
    <row r="472" spans="2:8" ht="15" customHeight="1" x14ac:dyDescent="0.25">
      <c r="B472">
        <v>464</v>
      </c>
      <c r="C472" s="5" t="s">
        <v>122</v>
      </c>
      <c r="D472" s="19">
        <v>46100</v>
      </c>
      <c r="E472" t="s">
        <v>144</v>
      </c>
      <c r="F472" t="s">
        <v>21</v>
      </c>
      <c r="G472" s="16">
        <v>120</v>
      </c>
      <c r="H472" s="16"/>
    </row>
    <row r="473" spans="2:8" ht="15" customHeight="1" x14ac:dyDescent="0.25">
      <c r="B473">
        <v>465</v>
      </c>
      <c r="C473" s="5" t="s">
        <v>122</v>
      </c>
      <c r="D473" s="19">
        <v>46100</v>
      </c>
      <c r="E473" t="s">
        <v>222</v>
      </c>
      <c r="F473" t="s">
        <v>21</v>
      </c>
      <c r="G473" s="16">
        <v>30</v>
      </c>
      <c r="H473" s="16"/>
    </row>
    <row r="474" spans="2:8" ht="15" customHeight="1" x14ac:dyDescent="0.25">
      <c r="B474">
        <v>466</v>
      </c>
      <c r="C474" s="5" t="s">
        <v>122</v>
      </c>
      <c r="D474" s="19">
        <v>46101</v>
      </c>
      <c r="E474" t="s">
        <v>243</v>
      </c>
      <c r="F474" t="s">
        <v>21</v>
      </c>
      <c r="G474" s="16">
        <v>55</v>
      </c>
      <c r="H474" s="16"/>
    </row>
    <row r="475" spans="2:8" ht="15" customHeight="1" x14ac:dyDescent="0.25">
      <c r="B475">
        <v>467</v>
      </c>
      <c r="C475" s="5" t="s">
        <v>122</v>
      </c>
      <c r="D475" s="19">
        <v>46102</v>
      </c>
      <c r="E475" t="s">
        <v>8</v>
      </c>
      <c r="F475" t="s">
        <v>8</v>
      </c>
      <c r="G475" s="16">
        <v>300</v>
      </c>
      <c r="H475" s="16"/>
    </row>
    <row r="476" spans="2:8" ht="15" customHeight="1" x14ac:dyDescent="0.25">
      <c r="B476">
        <v>468</v>
      </c>
      <c r="C476" s="5" t="s">
        <v>122</v>
      </c>
      <c r="D476" s="19">
        <v>46102</v>
      </c>
      <c r="E476" t="s">
        <v>394</v>
      </c>
      <c r="F476" t="s">
        <v>25</v>
      </c>
      <c r="G476" s="16">
        <v>1180</v>
      </c>
      <c r="H476" s="16"/>
    </row>
    <row r="477" spans="2:8" ht="15" customHeight="1" x14ac:dyDescent="0.25">
      <c r="B477">
        <v>469</v>
      </c>
      <c r="C477" s="5" t="s">
        <v>122</v>
      </c>
      <c r="D477" s="19">
        <v>46102</v>
      </c>
      <c r="E477" t="s">
        <v>203</v>
      </c>
      <c r="F477" t="s">
        <v>25</v>
      </c>
      <c r="G477" s="16">
        <v>110</v>
      </c>
      <c r="H477" s="16"/>
    </row>
    <row r="478" spans="2:8" ht="15" customHeight="1" x14ac:dyDescent="0.25">
      <c r="B478">
        <v>470</v>
      </c>
      <c r="C478" s="5" t="s">
        <v>123</v>
      </c>
      <c r="D478" s="19">
        <v>46102</v>
      </c>
      <c r="E478" t="s">
        <v>141</v>
      </c>
      <c r="F478" t="s">
        <v>21</v>
      </c>
      <c r="G478" s="16">
        <v>163</v>
      </c>
      <c r="H478" s="16"/>
    </row>
    <row r="479" spans="2:8" ht="15" customHeight="1" x14ac:dyDescent="0.25">
      <c r="B479">
        <v>471</v>
      </c>
      <c r="C479" s="5" t="s">
        <v>122</v>
      </c>
      <c r="D479" s="19">
        <v>46103</v>
      </c>
      <c r="E479" t="s">
        <v>136</v>
      </c>
      <c r="F479" t="s">
        <v>21</v>
      </c>
      <c r="G479" s="16">
        <v>486.23</v>
      </c>
      <c r="H479" s="16"/>
    </row>
    <row r="480" spans="2:8" ht="15" customHeight="1" x14ac:dyDescent="0.25">
      <c r="B480">
        <v>472</v>
      </c>
      <c r="C480" s="5" t="s">
        <v>122</v>
      </c>
      <c r="D480" s="19">
        <v>46103</v>
      </c>
      <c r="E480" t="s">
        <v>356</v>
      </c>
      <c r="F480" t="s">
        <v>14</v>
      </c>
      <c r="G480" s="16">
        <v>60</v>
      </c>
      <c r="H480" s="16"/>
    </row>
    <row r="481" spans="2:8" ht="15" customHeight="1" x14ac:dyDescent="0.25">
      <c r="B481">
        <v>473</v>
      </c>
      <c r="C481" s="5" t="s">
        <v>122</v>
      </c>
      <c r="D481" s="19">
        <v>46103</v>
      </c>
      <c r="E481" t="s">
        <v>191</v>
      </c>
      <c r="F481" t="s">
        <v>21</v>
      </c>
      <c r="G481" s="16">
        <v>36</v>
      </c>
      <c r="H481" s="16"/>
    </row>
    <row r="482" spans="2:8" ht="15" customHeight="1" x14ac:dyDescent="0.25">
      <c r="B482">
        <v>474</v>
      </c>
      <c r="C482" s="5" t="s">
        <v>123</v>
      </c>
      <c r="D482" s="19">
        <v>46103</v>
      </c>
      <c r="E482" t="s">
        <v>141</v>
      </c>
      <c r="F482" t="s">
        <v>21</v>
      </c>
      <c r="G482" s="16">
        <v>378</v>
      </c>
      <c r="H482" s="16"/>
    </row>
    <row r="483" spans="2:8" ht="15" customHeight="1" x14ac:dyDescent="0.25">
      <c r="B483">
        <v>475</v>
      </c>
      <c r="C483" s="5" t="s">
        <v>122</v>
      </c>
      <c r="D483" s="19">
        <v>46104</v>
      </c>
      <c r="E483" t="s">
        <v>169</v>
      </c>
      <c r="F483" t="s">
        <v>21</v>
      </c>
      <c r="G483" s="16">
        <v>27</v>
      </c>
      <c r="H483" s="16"/>
    </row>
    <row r="484" spans="2:8" ht="15" customHeight="1" x14ac:dyDescent="0.25">
      <c r="B484">
        <v>476</v>
      </c>
      <c r="C484" s="5" t="s">
        <v>122</v>
      </c>
      <c r="D484" s="19">
        <v>46104</v>
      </c>
      <c r="E484" t="s">
        <v>387</v>
      </c>
      <c r="F484" t="s">
        <v>21</v>
      </c>
      <c r="G484" s="16">
        <v>44</v>
      </c>
      <c r="H484" s="16"/>
    </row>
    <row r="485" spans="2:8" ht="15" customHeight="1" x14ac:dyDescent="0.25">
      <c r="B485">
        <v>477</v>
      </c>
      <c r="C485" s="5" t="s">
        <v>122</v>
      </c>
      <c r="D485" s="19">
        <v>46104</v>
      </c>
      <c r="E485" t="s">
        <v>395</v>
      </c>
      <c r="F485" t="s">
        <v>10</v>
      </c>
      <c r="G485" s="16">
        <v>465</v>
      </c>
      <c r="H485" s="16"/>
    </row>
    <row r="486" spans="2:8" ht="15" customHeight="1" x14ac:dyDescent="0.25">
      <c r="B486">
        <v>478</v>
      </c>
      <c r="C486" s="5" t="s">
        <v>122</v>
      </c>
      <c r="D486" s="19">
        <v>46105</v>
      </c>
      <c r="E486" t="s">
        <v>422</v>
      </c>
      <c r="F486" t="s">
        <v>6</v>
      </c>
      <c r="G486" s="16">
        <v>66</v>
      </c>
      <c r="H486" s="16"/>
    </row>
    <row r="487" spans="2:8" ht="15" customHeight="1" x14ac:dyDescent="0.25">
      <c r="B487">
        <v>479</v>
      </c>
      <c r="C487" s="5" t="s">
        <v>122</v>
      </c>
      <c r="D487" s="19">
        <v>46105</v>
      </c>
      <c r="E487" t="s">
        <v>396</v>
      </c>
      <c r="F487" t="s">
        <v>25</v>
      </c>
      <c r="G487" s="16">
        <v>200</v>
      </c>
      <c r="H487" s="16"/>
    </row>
    <row r="488" spans="2:8" ht="15" customHeight="1" x14ac:dyDescent="0.25">
      <c r="B488">
        <v>480</v>
      </c>
      <c r="C488" s="20" t="s">
        <v>123</v>
      </c>
      <c r="D488" s="19">
        <v>46105</v>
      </c>
      <c r="E488" t="s">
        <v>25</v>
      </c>
      <c r="F488" t="s">
        <v>25</v>
      </c>
      <c r="G488" s="16">
        <v>48</v>
      </c>
      <c r="H488" s="16"/>
    </row>
    <row r="489" spans="2:8" ht="15" customHeight="1" x14ac:dyDescent="0.25">
      <c r="B489">
        <v>481</v>
      </c>
      <c r="C489" s="5" t="s">
        <v>122</v>
      </c>
      <c r="D489" s="19">
        <v>46106</v>
      </c>
      <c r="E489" t="s">
        <v>290</v>
      </c>
      <c r="F489" t="s">
        <v>25</v>
      </c>
      <c r="G489" s="16">
        <v>110</v>
      </c>
      <c r="H489" s="16"/>
    </row>
    <row r="490" spans="2:8" ht="15" customHeight="1" x14ac:dyDescent="0.25">
      <c r="B490">
        <v>482</v>
      </c>
      <c r="C490" s="5" t="s">
        <v>122</v>
      </c>
      <c r="D490" s="19">
        <v>46108</v>
      </c>
      <c r="E490" t="s">
        <v>388</v>
      </c>
      <c r="F490" t="s">
        <v>10</v>
      </c>
      <c r="G490" s="16">
        <v>28</v>
      </c>
      <c r="H490" s="16"/>
    </row>
    <row r="491" spans="2:8" ht="15" customHeight="1" x14ac:dyDescent="0.25">
      <c r="B491">
        <v>483</v>
      </c>
      <c r="C491" s="5" t="s">
        <v>122</v>
      </c>
      <c r="D491" s="19">
        <v>46108</v>
      </c>
      <c r="E491" t="s">
        <v>389</v>
      </c>
      <c r="F491" t="s">
        <v>10</v>
      </c>
      <c r="G491" s="16">
        <v>24</v>
      </c>
      <c r="H491" s="16"/>
    </row>
    <row r="492" spans="2:8" ht="15" customHeight="1" x14ac:dyDescent="0.25">
      <c r="B492">
        <v>484</v>
      </c>
      <c r="C492" s="5" t="s">
        <v>122</v>
      </c>
      <c r="D492" s="19">
        <v>46108</v>
      </c>
      <c r="E492" t="s">
        <v>241</v>
      </c>
      <c r="F492" t="s">
        <v>25</v>
      </c>
      <c r="G492" s="16">
        <v>210</v>
      </c>
      <c r="H492" s="16"/>
    </row>
    <row r="493" spans="2:8" ht="15" customHeight="1" x14ac:dyDescent="0.25">
      <c r="B493">
        <v>485</v>
      </c>
      <c r="C493" s="5" t="s">
        <v>122</v>
      </c>
      <c r="D493" s="19">
        <v>46108</v>
      </c>
      <c r="E493" t="s">
        <v>390</v>
      </c>
      <c r="F493" t="s">
        <v>10</v>
      </c>
      <c r="G493" s="16">
        <v>300</v>
      </c>
      <c r="H493" s="16"/>
    </row>
    <row r="494" spans="2:8" ht="15" customHeight="1" x14ac:dyDescent="0.25">
      <c r="B494">
        <v>486</v>
      </c>
      <c r="C494" s="5" t="s">
        <v>122</v>
      </c>
      <c r="D494" s="19">
        <v>46109</v>
      </c>
      <c r="E494" t="s">
        <v>391</v>
      </c>
      <c r="F494" t="s">
        <v>10</v>
      </c>
      <c r="G494" s="16">
        <v>52</v>
      </c>
      <c r="H494" s="16"/>
    </row>
    <row r="495" spans="2:8" ht="15" customHeight="1" x14ac:dyDescent="0.25">
      <c r="B495">
        <v>487</v>
      </c>
      <c r="C495" s="5" t="s">
        <v>122</v>
      </c>
      <c r="D495" s="19">
        <v>46109</v>
      </c>
      <c r="E495" t="s">
        <v>392</v>
      </c>
      <c r="F495" t="s">
        <v>25</v>
      </c>
      <c r="G495" s="16">
        <v>20</v>
      </c>
      <c r="H495" s="16"/>
    </row>
    <row r="496" spans="2:8" ht="15" customHeight="1" x14ac:dyDescent="0.25">
      <c r="B496">
        <v>488</v>
      </c>
      <c r="C496" s="5" t="s">
        <v>122</v>
      </c>
      <c r="D496" s="19">
        <v>46109</v>
      </c>
      <c r="E496" t="s">
        <v>138</v>
      </c>
      <c r="F496" t="s">
        <v>26</v>
      </c>
      <c r="G496" s="16">
        <v>50</v>
      </c>
      <c r="H496" s="16"/>
    </row>
    <row r="497" spans="2:8" ht="15" customHeight="1" x14ac:dyDescent="0.25">
      <c r="B497">
        <v>489</v>
      </c>
      <c r="C497" s="5" t="s">
        <v>122</v>
      </c>
      <c r="D497" s="19">
        <v>46109</v>
      </c>
      <c r="E497" t="s">
        <v>128</v>
      </c>
      <c r="F497" t="s">
        <v>15</v>
      </c>
      <c r="G497" s="16">
        <v>145</v>
      </c>
      <c r="H497" s="16"/>
    </row>
    <row r="498" spans="2:8" ht="15" customHeight="1" x14ac:dyDescent="0.25">
      <c r="B498">
        <v>490</v>
      </c>
      <c r="C498" s="5" t="s">
        <v>122</v>
      </c>
      <c r="D498" s="19">
        <v>46109</v>
      </c>
      <c r="E498" t="s">
        <v>398</v>
      </c>
      <c r="F498" t="s">
        <v>15</v>
      </c>
      <c r="G498" s="16">
        <v>800</v>
      </c>
      <c r="H498" s="16"/>
    </row>
    <row r="499" spans="2:8" ht="15" customHeight="1" x14ac:dyDescent="0.25">
      <c r="B499">
        <v>491</v>
      </c>
      <c r="C499" s="5" t="s">
        <v>122</v>
      </c>
      <c r="D499" s="19">
        <v>46110</v>
      </c>
      <c r="E499" t="s">
        <v>128</v>
      </c>
      <c r="F499" t="s">
        <v>15</v>
      </c>
      <c r="G499" s="16">
        <v>145</v>
      </c>
      <c r="H499" s="16"/>
    </row>
    <row r="500" spans="2:8" ht="15" customHeight="1" x14ac:dyDescent="0.25">
      <c r="B500">
        <v>492</v>
      </c>
      <c r="C500" s="5" t="s">
        <v>122</v>
      </c>
      <c r="D500" s="19">
        <v>46110</v>
      </c>
      <c r="E500" t="s">
        <v>128</v>
      </c>
      <c r="F500" t="s">
        <v>15</v>
      </c>
      <c r="G500" s="16">
        <v>661</v>
      </c>
      <c r="H500" s="16"/>
    </row>
    <row r="501" spans="2:8" ht="15" customHeight="1" x14ac:dyDescent="0.25">
      <c r="B501">
        <v>493</v>
      </c>
      <c r="C501" s="20" t="s">
        <v>123</v>
      </c>
      <c r="D501" s="19">
        <v>46110</v>
      </c>
      <c r="E501" t="s">
        <v>138</v>
      </c>
      <c r="F501" t="s">
        <v>26</v>
      </c>
      <c r="G501" s="16">
        <v>130</v>
      </c>
      <c r="H501" s="16"/>
    </row>
    <row r="502" spans="2:8" ht="15" customHeight="1" x14ac:dyDescent="0.25">
      <c r="B502">
        <v>494</v>
      </c>
      <c r="C502" s="5" t="s">
        <v>122</v>
      </c>
      <c r="D502" s="19">
        <v>46112</v>
      </c>
      <c r="E502" t="s">
        <v>415</v>
      </c>
      <c r="F502" t="s">
        <v>409</v>
      </c>
      <c r="G502" s="16">
        <v>3000</v>
      </c>
      <c r="H502" s="16"/>
    </row>
    <row r="503" spans="2:8" ht="15" customHeight="1" x14ac:dyDescent="0.25">
      <c r="B503">
        <v>495</v>
      </c>
      <c r="C503" s="5" t="s">
        <v>123</v>
      </c>
      <c r="D503" s="19">
        <v>46112</v>
      </c>
      <c r="E503" t="s">
        <v>413</v>
      </c>
      <c r="F503" t="s">
        <v>409</v>
      </c>
      <c r="G503" s="16">
        <v>8000</v>
      </c>
      <c r="H503" s="16"/>
    </row>
    <row r="504" spans="2:8" ht="15" customHeight="1" x14ac:dyDescent="0.25">
      <c r="B504">
        <v>496</v>
      </c>
      <c r="C504" s="5" t="s">
        <v>123</v>
      </c>
      <c r="D504" s="19">
        <v>46112</v>
      </c>
      <c r="E504" t="s">
        <v>414</v>
      </c>
      <c r="F504" t="s">
        <v>410</v>
      </c>
      <c r="G504" s="16"/>
      <c r="H504" s="16">
        <v>6874.82</v>
      </c>
    </row>
    <row r="505" spans="2:8" ht="15" customHeight="1" x14ac:dyDescent="0.25">
      <c r="B505">
        <v>497</v>
      </c>
      <c r="C505" s="20" t="s">
        <v>123</v>
      </c>
      <c r="D505" s="19">
        <v>46112</v>
      </c>
      <c r="E505" t="s">
        <v>124</v>
      </c>
      <c r="F505" t="s">
        <v>36</v>
      </c>
      <c r="G505" s="16">
        <v>3000</v>
      </c>
      <c r="H505" s="16"/>
    </row>
    <row r="506" spans="2:8" ht="15" customHeight="1" x14ac:dyDescent="0.25">
      <c r="B506">
        <v>498</v>
      </c>
      <c r="C506" s="5" t="s">
        <v>122</v>
      </c>
      <c r="D506" s="19">
        <v>46113</v>
      </c>
      <c r="E506" t="s">
        <v>393</v>
      </c>
      <c r="F506" t="s">
        <v>21</v>
      </c>
      <c r="G506" s="16">
        <v>41</v>
      </c>
      <c r="H506" s="16"/>
    </row>
    <row r="507" spans="2:8" ht="15" customHeight="1" x14ac:dyDescent="0.25">
      <c r="B507">
        <v>499</v>
      </c>
      <c r="C507" s="5" t="s">
        <v>122</v>
      </c>
      <c r="D507" s="19">
        <v>46113</v>
      </c>
      <c r="E507" t="s">
        <v>397</v>
      </c>
      <c r="F507" t="s">
        <v>27</v>
      </c>
      <c r="G507" s="16">
        <v>2000</v>
      </c>
      <c r="H507" s="16"/>
    </row>
    <row r="508" spans="2:8" ht="15" customHeight="1" x14ac:dyDescent="0.25">
      <c r="B508">
        <v>500</v>
      </c>
      <c r="C508" s="20" t="s">
        <v>122</v>
      </c>
      <c r="D508" s="19">
        <v>46113</v>
      </c>
      <c r="E508" t="s">
        <v>42</v>
      </c>
      <c r="F508" t="s">
        <v>85</v>
      </c>
      <c r="G508" s="16"/>
      <c r="H508" s="16">
        <v>57640</v>
      </c>
    </row>
    <row r="509" spans="2:8" ht="15" customHeight="1" x14ac:dyDescent="0.25">
      <c r="B509">
        <v>501</v>
      </c>
      <c r="C509" s="20" t="s">
        <v>122</v>
      </c>
      <c r="D509" s="19">
        <v>46113</v>
      </c>
      <c r="E509" t="s">
        <v>21</v>
      </c>
      <c r="F509" t="s">
        <v>21</v>
      </c>
      <c r="G509" s="16">
        <v>103</v>
      </c>
      <c r="H509" s="16"/>
    </row>
    <row r="510" spans="2:8" ht="15" customHeight="1" x14ac:dyDescent="0.25">
      <c r="B510">
        <v>502</v>
      </c>
      <c r="C510" s="5" t="s">
        <v>122</v>
      </c>
      <c r="D510" s="19">
        <v>46113</v>
      </c>
      <c r="E510" t="s">
        <v>420</v>
      </c>
      <c r="F510" t="s">
        <v>408</v>
      </c>
      <c r="G510" s="16">
        <v>6874.82</v>
      </c>
      <c r="H510" s="16"/>
    </row>
    <row r="511" spans="2:8" ht="15" customHeight="1" x14ac:dyDescent="0.25">
      <c r="B511">
        <v>503</v>
      </c>
      <c r="C511" s="5" t="s">
        <v>122</v>
      </c>
      <c r="D511" s="19">
        <v>46113</v>
      </c>
      <c r="E511" t="s">
        <v>179</v>
      </c>
      <c r="F511" t="s">
        <v>83</v>
      </c>
      <c r="G511" s="16">
        <v>5000</v>
      </c>
      <c r="H511" s="16"/>
    </row>
    <row r="512" spans="2:8" ht="15" customHeight="1" x14ac:dyDescent="0.25">
      <c r="B512">
        <v>504</v>
      </c>
      <c r="C512" s="5" t="s">
        <v>122</v>
      </c>
      <c r="D512" s="19">
        <v>46113</v>
      </c>
      <c r="E512" t="s">
        <v>147</v>
      </c>
      <c r="F512" t="s">
        <v>25</v>
      </c>
      <c r="G512" s="16">
        <v>30</v>
      </c>
      <c r="H512" s="16"/>
    </row>
    <row r="513" spans="2:8" ht="15" customHeight="1" x14ac:dyDescent="0.25">
      <c r="B513">
        <v>505</v>
      </c>
      <c r="C513" s="5" t="s">
        <v>122</v>
      </c>
      <c r="D513" s="19">
        <v>46113</v>
      </c>
      <c r="E513" t="s">
        <v>169</v>
      </c>
      <c r="F513" t="s">
        <v>21</v>
      </c>
      <c r="G513" s="16">
        <v>73</v>
      </c>
      <c r="H513" s="16"/>
    </row>
    <row r="514" spans="2:8" ht="15" customHeight="1" x14ac:dyDescent="0.25">
      <c r="B514">
        <v>506</v>
      </c>
      <c r="C514" s="20" t="s">
        <v>123</v>
      </c>
      <c r="D514" s="19">
        <v>46113</v>
      </c>
      <c r="E514" t="s">
        <v>399</v>
      </c>
      <c r="F514" t="s">
        <v>36</v>
      </c>
      <c r="G514" s="16">
        <v>100</v>
      </c>
      <c r="H514" s="16"/>
    </row>
    <row r="515" spans="2:8" ht="15" customHeight="1" x14ac:dyDescent="0.25">
      <c r="B515">
        <v>507</v>
      </c>
      <c r="C515" s="20" t="s">
        <v>123</v>
      </c>
      <c r="D515" s="19">
        <v>46113</v>
      </c>
      <c r="E515" t="s">
        <v>400</v>
      </c>
      <c r="F515" t="s">
        <v>15</v>
      </c>
      <c r="G515" s="16">
        <v>1260</v>
      </c>
      <c r="H515" s="16"/>
    </row>
    <row r="516" spans="2:8" ht="15" customHeight="1" x14ac:dyDescent="0.25">
      <c r="B516">
        <v>508</v>
      </c>
      <c r="C516" s="20" t="s">
        <v>123</v>
      </c>
      <c r="D516" s="19">
        <v>46113</v>
      </c>
      <c r="E516" t="s">
        <v>295</v>
      </c>
      <c r="F516" t="s">
        <v>25</v>
      </c>
      <c r="G516" s="16">
        <v>120</v>
      </c>
      <c r="H516" s="16"/>
    </row>
    <row r="517" spans="2:8" ht="15" customHeight="1" x14ac:dyDescent="0.25">
      <c r="B517">
        <v>509</v>
      </c>
      <c r="C517" s="20" t="s">
        <v>123</v>
      </c>
      <c r="D517" s="19">
        <v>46113</v>
      </c>
      <c r="E517" t="s">
        <v>401</v>
      </c>
      <c r="F517" t="s">
        <v>10</v>
      </c>
      <c r="G517" s="16">
        <v>1420</v>
      </c>
      <c r="H517" s="16"/>
    </row>
    <row r="518" spans="2:8" ht="15" customHeight="1" x14ac:dyDescent="0.25">
      <c r="B518">
        <v>510</v>
      </c>
      <c r="C518" s="20" t="s">
        <v>123</v>
      </c>
      <c r="D518" s="19">
        <v>46113</v>
      </c>
      <c r="E518" t="s">
        <v>292</v>
      </c>
      <c r="F518" t="s">
        <v>14</v>
      </c>
      <c r="G518" s="16">
        <v>329</v>
      </c>
      <c r="H518" s="16"/>
    </row>
    <row r="519" spans="2:8" ht="15" customHeight="1" x14ac:dyDescent="0.25">
      <c r="B519">
        <v>511</v>
      </c>
      <c r="C519" s="20" t="s">
        <v>123</v>
      </c>
      <c r="D519" s="19">
        <v>46113</v>
      </c>
      <c r="E519" t="s">
        <v>358</v>
      </c>
      <c r="F519" t="s">
        <v>25</v>
      </c>
      <c r="G519" s="16">
        <v>50</v>
      </c>
      <c r="H519" s="16"/>
    </row>
    <row r="520" spans="2:8" ht="15" customHeight="1" x14ac:dyDescent="0.25">
      <c r="B520">
        <v>512</v>
      </c>
      <c r="C520" s="20" t="s">
        <v>123</v>
      </c>
      <c r="D520" s="19">
        <v>46113</v>
      </c>
      <c r="E520" t="s">
        <v>156</v>
      </c>
      <c r="F520" t="s">
        <v>10</v>
      </c>
      <c r="G520" s="16">
        <v>460</v>
      </c>
      <c r="H520" s="16"/>
    </row>
    <row r="521" spans="2:8" ht="15" customHeight="1" x14ac:dyDescent="0.25">
      <c r="B521">
        <v>513</v>
      </c>
      <c r="C521" s="20" t="s">
        <v>123</v>
      </c>
      <c r="D521" s="19">
        <v>46113</v>
      </c>
      <c r="E521" t="s">
        <v>243</v>
      </c>
      <c r="F521" t="s">
        <v>21</v>
      </c>
      <c r="G521" s="16">
        <v>26</v>
      </c>
      <c r="H521" s="16"/>
    </row>
    <row r="522" spans="2:8" ht="15" customHeight="1" x14ac:dyDescent="0.25">
      <c r="B522">
        <v>514</v>
      </c>
      <c r="C522" s="20" t="s">
        <v>123</v>
      </c>
      <c r="D522" s="19">
        <v>46113</v>
      </c>
      <c r="E522" t="s">
        <v>402</v>
      </c>
      <c r="F522" t="s">
        <v>21</v>
      </c>
      <c r="G522" s="16">
        <v>788</v>
      </c>
      <c r="H522" s="16"/>
    </row>
    <row r="523" spans="2:8" ht="15" customHeight="1" x14ac:dyDescent="0.25">
      <c r="B523">
        <v>515</v>
      </c>
      <c r="C523" s="20" t="s">
        <v>123</v>
      </c>
      <c r="D523" s="19">
        <v>46113</v>
      </c>
      <c r="E523" t="s">
        <v>402</v>
      </c>
      <c r="F523" t="s">
        <v>21</v>
      </c>
      <c r="G523" s="16">
        <f>1388-95-29</f>
        <v>1264</v>
      </c>
      <c r="H523" s="16"/>
    </row>
    <row r="524" spans="2:8" ht="15" customHeight="1" x14ac:dyDescent="0.25">
      <c r="B524">
        <v>516</v>
      </c>
      <c r="C524" s="20" t="s">
        <v>123</v>
      </c>
      <c r="D524" s="19">
        <v>46113</v>
      </c>
      <c r="E524" t="s">
        <v>403</v>
      </c>
      <c r="F524" t="s">
        <v>218</v>
      </c>
      <c r="G524" s="16">
        <v>659.59</v>
      </c>
      <c r="H524" s="16"/>
    </row>
    <row r="525" spans="2:8" ht="15" customHeight="1" x14ac:dyDescent="0.25">
      <c r="B525">
        <v>517</v>
      </c>
      <c r="C525" s="20" t="s">
        <v>123</v>
      </c>
      <c r="D525" s="19">
        <v>46113</v>
      </c>
      <c r="E525" t="s">
        <v>404</v>
      </c>
      <c r="F525" t="s">
        <v>25</v>
      </c>
      <c r="G525" s="16">
        <v>1099</v>
      </c>
      <c r="H525" s="16"/>
    </row>
    <row r="526" spans="2:8" ht="15" customHeight="1" x14ac:dyDescent="0.25">
      <c r="B526">
        <v>518</v>
      </c>
      <c r="C526" s="20" t="s">
        <v>123</v>
      </c>
      <c r="D526" s="19">
        <v>46113</v>
      </c>
      <c r="E526" t="s">
        <v>203</v>
      </c>
      <c r="F526" t="s">
        <v>25</v>
      </c>
      <c r="G526" s="16">
        <v>150</v>
      </c>
      <c r="H526" s="16"/>
    </row>
    <row r="527" spans="2:8" ht="15" customHeight="1" x14ac:dyDescent="0.25">
      <c r="B527">
        <v>519</v>
      </c>
      <c r="C527" s="20" t="s">
        <v>123</v>
      </c>
      <c r="D527" s="19">
        <v>46113</v>
      </c>
      <c r="E527" t="s">
        <v>42</v>
      </c>
      <c r="F527" t="s">
        <v>86</v>
      </c>
      <c r="G527" s="16"/>
      <c r="H527" s="16">
        <v>48500</v>
      </c>
    </row>
    <row r="528" spans="2:8" ht="15" customHeight="1" x14ac:dyDescent="0.25">
      <c r="B528">
        <v>520</v>
      </c>
      <c r="C528" s="20" t="s">
        <v>123</v>
      </c>
      <c r="D528" s="19">
        <v>46113</v>
      </c>
      <c r="E528" t="s">
        <v>405</v>
      </c>
      <c r="F528" t="s">
        <v>45</v>
      </c>
      <c r="G528" s="16"/>
      <c r="H528" s="16">
        <v>2000</v>
      </c>
    </row>
    <row r="529" spans="2:8" ht="15" customHeight="1" x14ac:dyDescent="0.25">
      <c r="B529">
        <v>521</v>
      </c>
      <c r="C529" s="20" t="s">
        <v>123</v>
      </c>
      <c r="D529" s="19">
        <v>46113</v>
      </c>
      <c r="E529" t="s">
        <v>406</v>
      </c>
      <c r="F529" t="s">
        <v>410</v>
      </c>
      <c r="G529" s="16"/>
      <c r="H529" s="16">
        <v>10000</v>
      </c>
    </row>
    <row r="530" spans="2:8" ht="15" customHeight="1" x14ac:dyDescent="0.25">
      <c r="B530">
        <v>522</v>
      </c>
      <c r="C530" s="20" t="s">
        <v>123</v>
      </c>
      <c r="D530" s="19">
        <v>46113</v>
      </c>
      <c r="E530" t="s">
        <v>124</v>
      </c>
      <c r="F530" t="s">
        <v>36</v>
      </c>
      <c r="G530" s="16">
        <v>7000</v>
      </c>
      <c r="H530" s="16"/>
    </row>
    <row r="531" spans="2:8" ht="15" customHeight="1" x14ac:dyDescent="0.25">
      <c r="B531">
        <v>523</v>
      </c>
      <c r="C531" s="20" t="s">
        <v>123</v>
      </c>
      <c r="D531" s="19">
        <v>46113</v>
      </c>
      <c r="E531" t="s">
        <v>407</v>
      </c>
      <c r="F531" t="s">
        <v>15</v>
      </c>
      <c r="G531" s="16">
        <v>1000</v>
      </c>
      <c r="H531" s="16"/>
    </row>
    <row r="532" spans="2:8" ht="15" customHeight="1" x14ac:dyDescent="0.25">
      <c r="B532">
        <v>524</v>
      </c>
      <c r="C532" s="20" t="s">
        <v>123</v>
      </c>
      <c r="D532" s="19">
        <v>46113</v>
      </c>
      <c r="E532" t="s">
        <v>217</v>
      </c>
      <c r="F532" t="s">
        <v>45</v>
      </c>
      <c r="G532" s="16"/>
      <c r="H532" s="16">
        <v>500</v>
      </c>
    </row>
    <row r="533" spans="2:8" ht="15" customHeight="1" x14ac:dyDescent="0.25">
      <c r="B533">
        <v>525</v>
      </c>
      <c r="C533" s="20" t="s">
        <v>123</v>
      </c>
      <c r="D533" s="19">
        <v>46113</v>
      </c>
      <c r="E533" t="s">
        <v>339</v>
      </c>
      <c r="F533" t="s">
        <v>36</v>
      </c>
      <c r="G533" s="16">
        <v>500</v>
      </c>
      <c r="H533" s="16"/>
    </row>
    <row r="534" spans="2:8" ht="15" customHeight="1" x14ac:dyDescent="0.25">
      <c r="B534">
        <v>526</v>
      </c>
      <c r="C534" s="5" t="s">
        <v>122</v>
      </c>
      <c r="D534" s="19">
        <v>46114</v>
      </c>
      <c r="E534" t="s">
        <v>414</v>
      </c>
      <c r="F534" t="s">
        <v>410</v>
      </c>
      <c r="G534" s="16"/>
      <c r="H534" s="16">
        <v>2614</v>
      </c>
    </row>
    <row r="535" spans="2:8" ht="15" customHeight="1" x14ac:dyDescent="0.25">
      <c r="B535">
        <v>527</v>
      </c>
      <c r="C535" s="20" t="s">
        <v>123</v>
      </c>
      <c r="D535" s="19">
        <v>46114</v>
      </c>
      <c r="E535" t="s">
        <v>416</v>
      </c>
      <c r="F535" t="s">
        <v>419</v>
      </c>
      <c r="G535" s="16"/>
      <c r="H535" s="16">
        <v>5000</v>
      </c>
    </row>
    <row r="536" spans="2:8" ht="15" customHeight="1" x14ac:dyDescent="0.25">
      <c r="B536">
        <v>528</v>
      </c>
      <c r="C536" s="5" t="s">
        <v>122</v>
      </c>
      <c r="D536" s="19">
        <v>46115</v>
      </c>
      <c r="E536" t="s">
        <v>243</v>
      </c>
      <c r="F536" t="s">
        <v>21</v>
      </c>
      <c r="G536" s="16">
        <v>27</v>
      </c>
      <c r="H536" s="16"/>
    </row>
    <row r="537" spans="2:8" ht="15" customHeight="1" x14ac:dyDescent="0.25">
      <c r="B537">
        <v>529</v>
      </c>
      <c r="C537" s="5" t="s">
        <v>122</v>
      </c>
      <c r="D537" s="19">
        <v>46115</v>
      </c>
      <c r="E537" t="s">
        <v>433</v>
      </c>
      <c r="F537" t="s">
        <v>10</v>
      </c>
      <c r="G537" s="16">
        <v>776</v>
      </c>
      <c r="H537" s="16"/>
    </row>
    <row r="538" spans="2:8" ht="15" customHeight="1" x14ac:dyDescent="0.25">
      <c r="B538">
        <v>530</v>
      </c>
      <c r="C538" s="5" t="s">
        <v>122</v>
      </c>
      <c r="D538" s="19">
        <v>46116</v>
      </c>
      <c r="E538" t="s">
        <v>428</v>
      </c>
      <c r="F538" t="s">
        <v>408</v>
      </c>
      <c r="G538" s="16">
        <v>2614</v>
      </c>
      <c r="H538" s="16"/>
    </row>
    <row r="539" spans="2:8" ht="15" customHeight="1" x14ac:dyDescent="0.25">
      <c r="B539">
        <v>531</v>
      </c>
      <c r="C539" s="5" t="s">
        <v>122</v>
      </c>
      <c r="D539" s="19">
        <v>46116</v>
      </c>
      <c r="E539" t="s">
        <v>397</v>
      </c>
      <c r="F539" t="s">
        <v>27</v>
      </c>
      <c r="G539" s="16">
        <v>2500</v>
      </c>
      <c r="H539" s="16"/>
    </row>
    <row r="540" spans="2:8" ht="15" customHeight="1" x14ac:dyDescent="0.25">
      <c r="B540">
        <v>532</v>
      </c>
      <c r="C540" s="5" t="s">
        <v>122</v>
      </c>
      <c r="D540" s="19">
        <v>46116</v>
      </c>
      <c r="E540" t="s">
        <v>243</v>
      </c>
      <c r="F540" t="s">
        <v>21</v>
      </c>
      <c r="G540" s="16">
        <v>14</v>
      </c>
      <c r="H540" s="16"/>
    </row>
    <row r="541" spans="2:8" ht="15" customHeight="1" x14ac:dyDescent="0.25">
      <c r="B541">
        <v>533</v>
      </c>
      <c r="C541" s="20" t="s">
        <v>123</v>
      </c>
      <c r="D541" s="19">
        <v>46116</v>
      </c>
      <c r="E541" t="s">
        <v>361</v>
      </c>
      <c r="F541" t="s">
        <v>21</v>
      </c>
      <c r="G541" s="16">
        <v>1339.5</v>
      </c>
      <c r="H541" s="16"/>
    </row>
    <row r="542" spans="2:8" ht="15" customHeight="1" x14ac:dyDescent="0.25">
      <c r="B542">
        <v>534</v>
      </c>
      <c r="C542" s="20" t="s">
        <v>123</v>
      </c>
      <c r="D542" s="19">
        <v>46116</v>
      </c>
      <c r="E542" t="s">
        <v>277</v>
      </c>
      <c r="F542" t="s">
        <v>25</v>
      </c>
      <c r="G542" s="16">
        <v>270</v>
      </c>
      <c r="H542" s="16"/>
    </row>
    <row r="543" spans="2:8" ht="15" customHeight="1" x14ac:dyDescent="0.25">
      <c r="B543">
        <v>535</v>
      </c>
      <c r="C543" s="20" t="s">
        <v>123</v>
      </c>
      <c r="D543" s="19">
        <v>46116</v>
      </c>
      <c r="E543" t="s">
        <v>320</v>
      </c>
      <c r="F543" t="s">
        <v>25</v>
      </c>
      <c r="G543" s="16">
        <v>200</v>
      </c>
      <c r="H543" s="16"/>
    </row>
    <row r="544" spans="2:8" ht="15" customHeight="1" x14ac:dyDescent="0.25">
      <c r="B544">
        <v>536</v>
      </c>
      <c r="C544" s="5" t="s">
        <v>122</v>
      </c>
      <c r="D544" s="19">
        <v>46117</v>
      </c>
      <c r="E544" t="s">
        <v>429</v>
      </c>
      <c r="F544" t="s">
        <v>24</v>
      </c>
      <c r="G544" s="16">
        <v>550</v>
      </c>
      <c r="H544" s="16"/>
    </row>
    <row r="545" spans="2:8" ht="15" customHeight="1" x14ac:dyDescent="0.25">
      <c r="B545">
        <v>537</v>
      </c>
      <c r="C545" s="5" t="s">
        <v>122</v>
      </c>
      <c r="D545" s="19">
        <v>46117</v>
      </c>
      <c r="E545" t="s">
        <v>430</v>
      </c>
      <c r="F545" t="s">
        <v>26</v>
      </c>
      <c r="G545" s="16">
        <v>578</v>
      </c>
      <c r="H545" s="16"/>
    </row>
    <row r="546" spans="2:8" ht="15" customHeight="1" x14ac:dyDescent="0.25">
      <c r="B546">
        <v>538</v>
      </c>
      <c r="C546" s="5" t="s">
        <v>122</v>
      </c>
      <c r="D546" s="19">
        <v>46117</v>
      </c>
      <c r="E546" t="s">
        <v>128</v>
      </c>
      <c r="F546" t="s">
        <v>25</v>
      </c>
      <c r="G546" s="16">
        <v>40</v>
      </c>
      <c r="H546" s="16"/>
    </row>
    <row r="547" spans="2:8" ht="15" customHeight="1" x14ac:dyDescent="0.25">
      <c r="B547">
        <v>539</v>
      </c>
      <c r="C547" s="5" t="s">
        <v>122</v>
      </c>
      <c r="D547" s="19">
        <v>46117</v>
      </c>
      <c r="E547" t="s">
        <v>147</v>
      </c>
      <c r="F547" t="s">
        <v>25</v>
      </c>
      <c r="G547" s="16">
        <v>45</v>
      </c>
      <c r="H547" s="16"/>
    </row>
    <row r="548" spans="2:8" ht="15" customHeight="1" x14ac:dyDescent="0.25">
      <c r="B548">
        <v>540</v>
      </c>
      <c r="C548" s="5" t="s">
        <v>122</v>
      </c>
      <c r="D548" s="19">
        <v>46117</v>
      </c>
      <c r="E548" t="s">
        <v>171</v>
      </c>
      <c r="F548" t="s">
        <v>21</v>
      </c>
      <c r="G548" s="16">
        <v>450</v>
      </c>
      <c r="H548" s="16"/>
    </row>
    <row r="549" spans="2:8" ht="15" customHeight="1" x14ac:dyDescent="0.25">
      <c r="B549">
        <v>541</v>
      </c>
      <c r="C549" s="20" t="s">
        <v>123</v>
      </c>
      <c r="D549" s="19">
        <v>46117</v>
      </c>
      <c r="E549" t="s">
        <v>260</v>
      </c>
      <c r="F549" t="s">
        <v>26</v>
      </c>
      <c r="G549" s="16">
        <v>50</v>
      </c>
      <c r="H549" s="16"/>
    </row>
    <row r="550" spans="2:8" ht="15" customHeight="1" x14ac:dyDescent="0.25">
      <c r="B550">
        <v>542</v>
      </c>
      <c r="C550" s="5" t="s">
        <v>122</v>
      </c>
      <c r="D550" s="19">
        <v>46118</v>
      </c>
      <c r="E550" t="s">
        <v>243</v>
      </c>
      <c r="F550" t="s">
        <v>21</v>
      </c>
      <c r="G550" s="16">
        <v>55</v>
      </c>
      <c r="H550" s="16"/>
    </row>
    <row r="551" spans="2:8" ht="15" customHeight="1" x14ac:dyDescent="0.25">
      <c r="B551">
        <v>543</v>
      </c>
      <c r="C551" s="20" t="s">
        <v>123</v>
      </c>
      <c r="D551" s="19">
        <v>46118</v>
      </c>
      <c r="E551" t="s">
        <v>424</v>
      </c>
      <c r="F551" t="s">
        <v>6</v>
      </c>
      <c r="G551" s="16">
        <v>167</v>
      </c>
      <c r="H551" s="16"/>
    </row>
    <row r="552" spans="2:8" ht="15" customHeight="1" x14ac:dyDescent="0.25">
      <c r="B552">
        <v>544</v>
      </c>
      <c r="C552" s="5" t="s">
        <v>122</v>
      </c>
      <c r="D552" s="19">
        <v>46119</v>
      </c>
      <c r="E552" t="s">
        <v>144</v>
      </c>
      <c r="F552" t="s">
        <v>21</v>
      </c>
      <c r="G552" s="16">
        <v>100</v>
      </c>
      <c r="H552" s="16"/>
    </row>
    <row r="553" spans="2:8" ht="15" customHeight="1" x14ac:dyDescent="0.25">
      <c r="B553">
        <v>545</v>
      </c>
      <c r="C553" s="20" t="s">
        <v>123</v>
      </c>
      <c r="D553" s="19">
        <v>46119</v>
      </c>
      <c r="E553" t="s">
        <v>425</v>
      </c>
      <c r="F553" t="s">
        <v>15</v>
      </c>
      <c r="G553" s="16">
        <v>306</v>
      </c>
      <c r="H553" s="16"/>
    </row>
    <row r="554" spans="2:8" ht="15" customHeight="1" x14ac:dyDescent="0.25">
      <c r="B554">
        <v>546</v>
      </c>
      <c r="C554" s="5" t="s">
        <v>122</v>
      </c>
      <c r="D554" s="19">
        <v>46120</v>
      </c>
      <c r="E554" t="s">
        <v>243</v>
      </c>
      <c r="F554" t="s">
        <v>21</v>
      </c>
      <c r="G554" s="16">
        <v>37</v>
      </c>
      <c r="H554" s="16"/>
    </row>
    <row r="555" spans="2:8" ht="15" customHeight="1" x14ac:dyDescent="0.25">
      <c r="B555">
        <v>547</v>
      </c>
      <c r="C555" s="5" t="s">
        <v>122</v>
      </c>
      <c r="D555" s="19">
        <v>46120</v>
      </c>
      <c r="E555" t="s">
        <v>431</v>
      </c>
      <c r="F555" t="s">
        <v>84</v>
      </c>
      <c r="G555" s="16">
        <v>5093</v>
      </c>
      <c r="H555" s="16"/>
    </row>
    <row r="556" spans="2:8" ht="15" customHeight="1" x14ac:dyDescent="0.25">
      <c r="B556">
        <v>548</v>
      </c>
      <c r="C556" s="5" t="s">
        <v>122</v>
      </c>
      <c r="D556" s="19">
        <v>46120</v>
      </c>
      <c r="E556" t="s">
        <v>432</v>
      </c>
      <c r="F556" t="s">
        <v>15</v>
      </c>
      <c r="G556" s="16">
        <v>499</v>
      </c>
      <c r="H556" s="16"/>
    </row>
    <row r="557" spans="2:8" ht="15" customHeight="1" x14ac:dyDescent="0.25">
      <c r="B557">
        <v>549</v>
      </c>
      <c r="C557" s="20" t="s">
        <v>123</v>
      </c>
      <c r="D557" s="19">
        <v>46120</v>
      </c>
      <c r="E557" t="s">
        <v>426</v>
      </c>
      <c r="F557" t="s">
        <v>419</v>
      </c>
      <c r="G557" s="16"/>
      <c r="H557" s="16">
        <v>5000</v>
      </c>
    </row>
    <row r="558" spans="2:8" ht="15" customHeight="1" x14ac:dyDescent="0.25">
      <c r="B558">
        <v>550</v>
      </c>
      <c r="C558" s="20" t="s">
        <v>123</v>
      </c>
      <c r="D558" s="19">
        <v>46120</v>
      </c>
      <c r="E558" t="s">
        <v>402</v>
      </c>
      <c r="F558" t="s">
        <v>21</v>
      </c>
      <c r="G558" s="16">
        <v>427</v>
      </c>
      <c r="H558" s="16"/>
    </row>
    <row r="559" spans="2:8" ht="15" customHeight="1" x14ac:dyDescent="0.25">
      <c r="B559">
        <v>551</v>
      </c>
      <c r="C559" s="20" t="s">
        <v>123</v>
      </c>
      <c r="D559" s="19">
        <v>46120</v>
      </c>
      <c r="E559" t="s">
        <v>427</v>
      </c>
      <c r="F559" t="s">
        <v>86</v>
      </c>
      <c r="G559" s="16"/>
      <c r="H559" s="16">
        <v>1096</v>
      </c>
    </row>
    <row r="560" spans="2:8" ht="15" customHeight="1" x14ac:dyDescent="0.25">
      <c r="B560">
        <v>552</v>
      </c>
      <c r="C560" s="5" t="s">
        <v>122</v>
      </c>
      <c r="D560" s="19">
        <v>46121</v>
      </c>
      <c r="E560" t="s">
        <v>243</v>
      </c>
      <c r="F560" t="s">
        <v>25</v>
      </c>
      <c r="G560" s="16">
        <v>55</v>
      </c>
      <c r="H560" s="16"/>
    </row>
    <row r="561" spans="2:8" ht="15" customHeight="1" x14ac:dyDescent="0.25">
      <c r="B561">
        <v>553</v>
      </c>
      <c r="C561" s="5" t="s">
        <v>122</v>
      </c>
      <c r="D561" s="19">
        <v>46122</v>
      </c>
      <c r="E561" t="s">
        <v>434</v>
      </c>
      <c r="F561" t="s">
        <v>21</v>
      </c>
      <c r="G561" s="16">
        <v>55</v>
      </c>
      <c r="H561" s="16"/>
    </row>
    <row r="562" spans="2:8" ht="15" customHeight="1" x14ac:dyDescent="0.25">
      <c r="B562">
        <v>554</v>
      </c>
      <c r="C562" s="5" t="s">
        <v>122</v>
      </c>
      <c r="D562" s="19">
        <v>46122</v>
      </c>
      <c r="E562" t="s">
        <v>381</v>
      </c>
      <c r="F562" t="s">
        <v>21</v>
      </c>
      <c r="G562" s="16">
        <v>58</v>
      </c>
      <c r="H562" s="16"/>
    </row>
    <row r="563" spans="2:8" ht="15" customHeight="1" x14ac:dyDescent="0.25">
      <c r="B563">
        <v>555</v>
      </c>
      <c r="C563" s="5" t="s">
        <v>122</v>
      </c>
      <c r="D563" s="19">
        <v>46122</v>
      </c>
      <c r="E563" t="s">
        <v>25</v>
      </c>
      <c r="F563" t="s">
        <v>25</v>
      </c>
      <c r="G563" s="16">
        <v>440</v>
      </c>
      <c r="H563" s="16"/>
    </row>
    <row r="564" spans="2:8" ht="15" customHeight="1" x14ac:dyDescent="0.25">
      <c r="B564">
        <v>556</v>
      </c>
      <c r="C564" s="5" t="s">
        <v>122</v>
      </c>
      <c r="D564" s="19">
        <v>46122</v>
      </c>
      <c r="E564" t="s">
        <v>309</v>
      </c>
      <c r="F564" t="s">
        <v>24</v>
      </c>
      <c r="G564" s="16">
        <v>599</v>
      </c>
      <c r="H564" s="16"/>
    </row>
    <row r="565" spans="2:8" ht="15" customHeight="1" x14ac:dyDescent="0.25">
      <c r="B565">
        <v>557</v>
      </c>
      <c r="C565" s="5" t="s">
        <v>122</v>
      </c>
      <c r="D565" s="19">
        <v>46122</v>
      </c>
      <c r="E565" t="s">
        <v>309</v>
      </c>
      <c r="F565" t="s">
        <v>26</v>
      </c>
      <c r="G565" s="16">
        <v>228</v>
      </c>
      <c r="H565" s="16"/>
    </row>
    <row r="566" spans="2:8" ht="15" customHeight="1" x14ac:dyDescent="0.25">
      <c r="B566">
        <v>558</v>
      </c>
      <c r="C566" s="5" t="s">
        <v>122</v>
      </c>
      <c r="D566" s="19">
        <v>46123</v>
      </c>
      <c r="E566" t="s">
        <v>243</v>
      </c>
      <c r="F566" t="s">
        <v>21</v>
      </c>
      <c r="G566" s="16">
        <v>37</v>
      </c>
      <c r="H566" s="16"/>
    </row>
    <row r="567" spans="2:8" ht="15" customHeight="1" x14ac:dyDescent="0.25">
      <c r="B567">
        <v>559</v>
      </c>
      <c r="C567" s="5" t="s">
        <v>122</v>
      </c>
      <c r="D567" s="19">
        <v>46123</v>
      </c>
      <c r="E567" t="s">
        <v>358</v>
      </c>
      <c r="F567" t="s">
        <v>25</v>
      </c>
      <c r="G567" s="16">
        <v>60</v>
      </c>
      <c r="H567" s="16"/>
    </row>
    <row r="568" spans="2:8" ht="15" customHeight="1" x14ac:dyDescent="0.25">
      <c r="B568">
        <v>560</v>
      </c>
      <c r="C568" s="5" t="s">
        <v>122</v>
      </c>
      <c r="D568" s="19">
        <v>46123</v>
      </c>
      <c r="E568" t="s">
        <v>358</v>
      </c>
      <c r="F568" t="s">
        <v>25</v>
      </c>
      <c r="G568" s="16">
        <v>50</v>
      </c>
      <c r="H568" s="16"/>
    </row>
    <row r="569" spans="2:8" ht="15" customHeight="1" x14ac:dyDescent="0.25">
      <c r="B569">
        <v>561</v>
      </c>
      <c r="C569" s="5" t="s">
        <v>122</v>
      </c>
      <c r="D569" s="19">
        <v>46123</v>
      </c>
      <c r="E569" t="s">
        <v>249</v>
      </c>
      <c r="F569" t="s">
        <v>218</v>
      </c>
      <c r="G569" s="16">
        <v>352.82</v>
      </c>
      <c r="H569" s="16"/>
    </row>
    <row r="570" spans="2:8" ht="15" customHeight="1" x14ac:dyDescent="0.25">
      <c r="B570">
        <v>562</v>
      </c>
      <c r="C570" s="5" t="s">
        <v>122</v>
      </c>
      <c r="D570" s="19">
        <v>46123</v>
      </c>
      <c r="E570" t="s">
        <v>440</v>
      </c>
      <c r="F570" t="s">
        <v>25</v>
      </c>
      <c r="G570" s="16">
        <v>1225</v>
      </c>
      <c r="H570" s="16"/>
    </row>
    <row r="571" spans="2:8" ht="15" customHeight="1" x14ac:dyDescent="0.25">
      <c r="B571">
        <v>563</v>
      </c>
      <c r="C571" s="5" t="s">
        <v>122</v>
      </c>
      <c r="D571" s="19">
        <v>46123</v>
      </c>
      <c r="E571" t="s">
        <v>377</v>
      </c>
      <c r="F571" t="s">
        <v>29</v>
      </c>
      <c r="G571" s="16">
        <v>820</v>
      </c>
      <c r="H571" s="16"/>
    </row>
    <row r="572" spans="2:8" ht="15" customHeight="1" x14ac:dyDescent="0.25">
      <c r="B572">
        <v>564</v>
      </c>
      <c r="C572" s="5" t="s">
        <v>122</v>
      </c>
      <c r="D572" s="19">
        <v>46123</v>
      </c>
      <c r="E572" t="s">
        <v>259</v>
      </c>
      <c r="F572" t="s">
        <v>29</v>
      </c>
      <c r="G572" s="16">
        <v>120</v>
      </c>
      <c r="H572" s="16"/>
    </row>
    <row r="573" spans="2:8" ht="15" customHeight="1" x14ac:dyDescent="0.25">
      <c r="B573">
        <v>565</v>
      </c>
      <c r="C573" s="5" t="s">
        <v>122</v>
      </c>
      <c r="D573" s="19">
        <v>46123</v>
      </c>
      <c r="E573" t="s">
        <v>207</v>
      </c>
      <c r="F573" t="s">
        <v>25</v>
      </c>
      <c r="G573" s="16">
        <v>417.9</v>
      </c>
      <c r="H573" s="16"/>
    </row>
    <row r="574" spans="2:8" ht="15" customHeight="1" x14ac:dyDescent="0.25">
      <c r="B574">
        <v>566</v>
      </c>
      <c r="C574" s="5" t="s">
        <v>122</v>
      </c>
      <c r="D574" s="19">
        <v>46123</v>
      </c>
      <c r="E574" t="s">
        <v>441</v>
      </c>
      <c r="F574" t="s">
        <v>29</v>
      </c>
      <c r="G574" s="16">
        <v>55</v>
      </c>
      <c r="H574" s="16"/>
    </row>
    <row r="575" spans="2:8" ht="15" customHeight="1" x14ac:dyDescent="0.25">
      <c r="B575">
        <v>567</v>
      </c>
      <c r="C575" s="5" t="s">
        <v>123</v>
      </c>
      <c r="D575" s="19">
        <v>46123</v>
      </c>
      <c r="E575" t="s">
        <v>445</v>
      </c>
      <c r="F575" t="s">
        <v>15</v>
      </c>
      <c r="G575" s="16">
        <v>2195</v>
      </c>
      <c r="H575" s="16"/>
    </row>
    <row r="576" spans="2:8" ht="15" customHeight="1" x14ac:dyDescent="0.25">
      <c r="B576">
        <v>568</v>
      </c>
      <c r="C576" s="5" t="s">
        <v>123</v>
      </c>
      <c r="D576" s="19">
        <v>46123</v>
      </c>
      <c r="E576" t="s">
        <v>217</v>
      </c>
      <c r="F576" t="s">
        <v>45</v>
      </c>
      <c r="G576" s="16"/>
      <c r="H576" s="16">
        <v>5000</v>
      </c>
    </row>
    <row r="577" spans="2:8" ht="15" customHeight="1" x14ac:dyDescent="0.25">
      <c r="B577">
        <v>569</v>
      </c>
      <c r="C577" s="5" t="s">
        <v>123</v>
      </c>
      <c r="D577" s="19">
        <v>46123</v>
      </c>
      <c r="E577" t="s">
        <v>446</v>
      </c>
      <c r="F577" t="s">
        <v>24</v>
      </c>
      <c r="G577" s="16">
        <v>851</v>
      </c>
      <c r="H577" s="16"/>
    </row>
    <row r="578" spans="2:8" ht="15" customHeight="1" x14ac:dyDescent="0.25">
      <c r="B578">
        <v>570</v>
      </c>
      <c r="C578" s="5" t="s">
        <v>123</v>
      </c>
      <c r="D578" s="19">
        <v>46123</v>
      </c>
      <c r="E578" t="s">
        <v>447</v>
      </c>
      <c r="F578" t="s">
        <v>24</v>
      </c>
      <c r="G578" s="16">
        <v>780</v>
      </c>
      <c r="H578" s="16"/>
    </row>
    <row r="579" spans="2:8" ht="15" customHeight="1" x14ac:dyDescent="0.25">
      <c r="B579">
        <v>571</v>
      </c>
      <c r="C579" s="5" t="s">
        <v>122</v>
      </c>
      <c r="D579" s="19">
        <v>46124</v>
      </c>
      <c r="E579" t="s">
        <v>146</v>
      </c>
      <c r="F579" t="s">
        <v>21</v>
      </c>
      <c r="G579" s="16">
        <v>198</v>
      </c>
      <c r="H579" s="16"/>
    </row>
    <row r="580" spans="2:8" ht="15" customHeight="1" x14ac:dyDescent="0.25">
      <c r="B580">
        <v>572</v>
      </c>
      <c r="C580" s="5" t="s">
        <v>122</v>
      </c>
      <c r="D580" s="19">
        <v>46124</v>
      </c>
      <c r="E580" t="s">
        <v>139</v>
      </c>
      <c r="F580" t="s">
        <v>3</v>
      </c>
      <c r="G580" s="16">
        <v>15500</v>
      </c>
      <c r="H580" s="16"/>
    </row>
    <row r="581" spans="2:8" ht="15" customHeight="1" x14ac:dyDescent="0.25">
      <c r="B581">
        <v>573</v>
      </c>
      <c r="C581" s="5" t="s">
        <v>122</v>
      </c>
      <c r="D581" s="19">
        <v>46124</v>
      </c>
      <c r="E581" t="s">
        <v>81</v>
      </c>
      <c r="F581" t="s">
        <v>81</v>
      </c>
      <c r="G581" s="16">
        <v>250</v>
      </c>
      <c r="H581" s="16"/>
    </row>
    <row r="582" spans="2:8" ht="15" customHeight="1" x14ac:dyDescent="0.25">
      <c r="B582">
        <v>574</v>
      </c>
      <c r="C582" s="5" t="s">
        <v>122</v>
      </c>
      <c r="D582" s="19">
        <v>46124</v>
      </c>
      <c r="E582" t="s">
        <v>6</v>
      </c>
      <c r="F582" t="s">
        <v>6</v>
      </c>
      <c r="G582" s="16">
        <v>817</v>
      </c>
      <c r="H582" s="16"/>
    </row>
    <row r="583" spans="2:8" ht="15" customHeight="1" x14ac:dyDescent="0.25">
      <c r="B583">
        <v>575</v>
      </c>
      <c r="C583" s="5" t="s">
        <v>123</v>
      </c>
      <c r="D583" s="19">
        <v>46124</v>
      </c>
      <c r="E583" t="s">
        <v>437</v>
      </c>
      <c r="F583" t="s">
        <v>25</v>
      </c>
      <c r="G583" s="16">
        <v>55</v>
      </c>
      <c r="H583" s="16"/>
    </row>
    <row r="584" spans="2:8" ht="15" customHeight="1" x14ac:dyDescent="0.25">
      <c r="B584">
        <v>576</v>
      </c>
      <c r="C584" s="5" t="s">
        <v>122</v>
      </c>
      <c r="D584" s="19">
        <v>46125</v>
      </c>
      <c r="E584" t="s">
        <v>435</v>
      </c>
      <c r="F584" t="s">
        <v>11</v>
      </c>
      <c r="G584" s="16">
        <v>170</v>
      </c>
      <c r="H584" s="16"/>
    </row>
    <row r="585" spans="2:8" ht="15" customHeight="1" x14ac:dyDescent="0.25">
      <c r="B585">
        <v>577</v>
      </c>
      <c r="C585" s="5" t="s">
        <v>122</v>
      </c>
      <c r="D585" s="19">
        <v>46125</v>
      </c>
      <c r="E585" t="s">
        <v>436</v>
      </c>
      <c r="F585" t="s">
        <v>11</v>
      </c>
      <c r="G585" s="16">
        <v>200</v>
      </c>
      <c r="H585" s="16"/>
    </row>
    <row r="586" spans="2:8" ht="15" customHeight="1" x14ac:dyDescent="0.25">
      <c r="B586">
        <v>578</v>
      </c>
      <c r="C586" s="5" t="s">
        <v>122</v>
      </c>
      <c r="D586" s="19">
        <v>46126</v>
      </c>
      <c r="E586" t="s">
        <v>243</v>
      </c>
      <c r="F586" t="s">
        <v>21</v>
      </c>
      <c r="G586" s="16">
        <v>27</v>
      </c>
      <c r="H586" s="16"/>
    </row>
    <row r="587" spans="2:8" ht="15" customHeight="1" x14ac:dyDescent="0.25">
      <c r="B587">
        <v>579</v>
      </c>
      <c r="C587" s="5" t="s">
        <v>123</v>
      </c>
      <c r="D587" s="19">
        <v>46126</v>
      </c>
      <c r="E587" t="s">
        <v>448</v>
      </c>
      <c r="F587" t="s">
        <v>20</v>
      </c>
      <c r="G587" s="16">
        <v>245</v>
      </c>
      <c r="H587" s="16"/>
    </row>
    <row r="588" spans="2:8" ht="15" customHeight="1" x14ac:dyDescent="0.25">
      <c r="B588">
        <v>580</v>
      </c>
      <c r="C588" s="5" t="s">
        <v>122</v>
      </c>
      <c r="D588" s="19">
        <v>46127</v>
      </c>
      <c r="E588" t="s">
        <v>381</v>
      </c>
      <c r="F588" t="s">
        <v>21</v>
      </c>
      <c r="G588" s="16">
        <v>38</v>
      </c>
      <c r="H588" s="16"/>
    </row>
    <row r="589" spans="2:8" ht="15" customHeight="1" x14ac:dyDescent="0.25">
      <c r="B589">
        <v>581</v>
      </c>
      <c r="C589" s="5" t="s">
        <v>122</v>
      </c>
      <c r="D589" s="19">
        <v>46127</v>
      </c>
      <c r="E589" t="s">
        <v>267</v>
      </c>
      <c r="F589" t="s">
        <v>10</v>
      </c>
      <c r="G589" s="16">
        <v>96</v>
      </c>
      <c r="H589" s="16"/>
    </row>
    <row r="590" spans="2:8" ht="15" customHeight="1" x14ac:dyDescent="0.25">
      <c r="B590">
        <v>582</v>
      </c>
      <c r="C590" s="5" t="s">
        <v>123</v>
      </c>
      <c r="D590" s="19">
        <v>46127</v>
      </c>
      <c r="E590" t="s">
        <v>449</v>
      </c>
      <c r="F590" t="s">
        <v>25</v>
      </c>
      <c r="G590" s="16">
        <v>875</v>
      </c>
      <c r="H590" s="16"/>
    </row>
    <row r="591" spans="2:8" ht="15" customHeight="1" x14ac:dyDescent="0.25">
      <c r="B591">
        <v>583</v>
      </c>
      <c r="C591" s="5" t="s">
        <v>122</v>
      </c>
      <c r="D591" s="19">
        <v>46128</v>
      </c>
      <c r="E591" t="s">
        <v>306</v>
      </c>
      <c r="F591" t="s">
        <v>36</v>
      </c>
      <c r="G591" s="16">
        <v>20000</v>
      </c>
      <c r="H591" s="16"/>
    </row>
    <row r="592" spans="2:8" ht="15" customHeight="1" x14ac:dyDescent="0.25">
      <c r="B592">
        <v>584</v>
      </c>
      <c r="C592" s="5" t="s">
        <v>122</v>
      </c>
      <c r="D592" s="19">
        <v>46128</v>
      </c>
      <c r="E592" t="s">
        <v>442</v>
      </c>
      <c r="F592" t="s">
        <v>409</v>
      </c>
      <c r="G592" s="16">
        <v>40000</v>
      </c>
      <c r="H592" s="16"/>
    </row>
    <row r="593" spans="2:8" ht="15" customHeight="1" x14ac:dyDescent="0.25">
      <c r="B593">
        <v>585</v>
      </c>
      <c r="C593" s="5" t="s">
        <v>123</v>
      </c>
      <c r="D593" s="19">
        <v>46128</v>
      </c>
      <c r="E593" t="s">
        <v>450</v>
      </c>
      <c r="F593" t="s">
        <v>21</v>
      </c>
      <c r="G593" s="16">
        <v>207</v>
      </c>
      <c r="H593" s="16"/>
    </row>
    <row r="594" spans="2:8" ht="15" customHeight="1" x14ac:dyDescent="0.25">
      <c r="B594">
        <v>586</v>
      </c>
      <c r="C594" s="5" t="s">
        <v>122</v>
      </c>
      <c r="D594" s="19">
        <v>46129</v>
      </c>
      <c r="E594" t="s">
        <v>437</v>
      </c>
      <c r="F594" t="s">
        <v>21</v>
      </c>
      <c r="G594" s="16">
        <v>55</v>
      </c>
      <c r="H594" s="16"/>
    </row>
    <row r="595" spans="2:8" ht="15" customHeight="1" x14ac:dyDescent="0.25">
      <c r="B595">
        <v>587</v>
      </c>
      <c r="C595" s="5" t="s">
        <v>123</v>
      </c>
      <c r="D595" s="19">
        <v>46129</v>
      </c>
      <c r="E595" t="s">
        <v>128</v>
      </c>
      <c r="F595" t="s">
        <v>25</v>
      </c>
      <c r="G595" s="16">
        <v>198</v>
      </c>
      <c r="H595" s="16"/>
    </row>
    <row r="596" spans="2:8" ht="15" customHeight="1" x14ac:dyDescent="0.25">
      <c r="B596">
        <v>588</v>
      </c>
      <c r="C596" s="5" t="s">
        <v>123</v>
      </c>
      <c r="D596" s="19">
        <v>46129</v>
      </c>
      <c r="E596" t="s">
        <v>128</v>
      </c>
      <c r="F596" t="s">
        <v>25</v>
      </c>
      <c r="G596" s="16">
        <v>130</v>
      </c>
      <c r="H596" s="16"/>
    </row>
    <row r="597" spans="2:8" ht="15" customHeight="1" x14ac:dyDescent="0.25">
      <c r="B597">
        <v>589</v>
      </c>
      <c r="C597" s="5" t="s">
        <v>122</v>
      </c>
      <c r="D597" s="19">
        <v>46130</v>
      </c>
      <c r="E597" t="s">
        <v>243</v>
      </c>
      <c r="F597" t="s">
        <v>21</v>
      </c>
      <c r="G597" s="16">
        <v>27</v>
      </c>
      <c r="H597" s="16"/>
    </row>
    <row r="598" spans="2:8" ht="15" customHeight="1" x14ac:dyDescent="0.25">
      <c r="B598">
        <v>590</v>
      </c>
      <c r="C598" s="5" t="s">
        <v>122</v>
      </c>
      <c r="D598" s="19">
        <v>46130</v>
      </c>
      <c r="E598" t="s">
        <v>438</v>
      </c>
      <c r="F598" t="s">
        <v>21</v>
      </c>
      <c r="G598" s="16">
        <v>60</v>
      </c>
      <c r="H598" s="16"/>
    </row>
    <row r="599" spans="2:8" ht="15" customHeight="1" x14ac:dyDescent="0.25">
      <c r="B599">
        <v>591</v>
      </c>
      <c r="C599" s="5" t="s">
        <v>122</v>
      </c>
      <c r="D599" s="19">
        <v>46130</v>
      </c>
      <c r="E599" t="s">
        <v>439</v>
      </c>
      <c r="F599" t="s">
        <v>21</v>
      </c>
      <c r="G599" s="16">
        <v>220</v>
      </c>
      <c r="H599" s="16"/>
    </row>
    <row r="600" spans="2:8" ht="15" customHeight="1" x14ac:dyDescent="0.25">
      <c r="B600">
        <v>592</v>
      </c>
      <c r="C600" s="5" t="s">
        <v>122</v>
      </c>
      <c r="D600" s="19">
        <v>46130</v>
      </c>
      <c r="E600" t="s">
        <v>222</v>
      </c>
      <c r="F600" t="s">
        <v>21</v>
      </c>
      <c r="G600" s="16">
        <v>28</v>
      </c>
      <c r="H600" s="16"/>
    </row>
    <row r="601" spans="2:8" ht="15" customHeight="1" x14ac:dyDescent="0.25">
      <c r="B601">
        <v>593</v>
      </c>
      <c r="C601" s="5" t="s">
        <v>122</v>
      </c>
      <c r="D601" s="19">
        <v>46130</v>
      </c>
      <c r="E601" t="s">
        <v>443</v>
      </c>
      <c r="F601" t="s">
        <v>29</v>
      </c>
      <c r="G601" s="16">
        <v>50</v>
      </c>
      <c r="H601" s="16"/>
    </row>
    <row r="602" spans="2:8" ht="15" customHeight="1" x14ac:dyDescent="0.25">
      <c r="B602">
        <v>594</v>
      </c>
      <c r="C602" s="5" t="s">
        <v>122</v>
      </c>
      <c r="D602" s="19">
        <v>46131</v>
      </c>
      <c r="E602" t="s">
        <v>444</v>
      </c>
      <c r="F602" t="s">
        <v>21</v>
      </c>
      <c r="G602" s="16">
        <v>960</v>
      </c>
      <c r="H602" s="16"/>
    </row>
    <row r="603" spans="2:8" ht="15" customHeight="1" x14ac:dyDescent="0.25">
      <c r="B603">
        <v>595</v>
      </c>
      <c r="C603" s="5" t="s">
        <v>122</v>
      </c>
      <c r="D603" s="19">
        <v>46131</v>
      </c>
      <c r="E603" t="s">
        <v>437</v>
      </c>
      <c r="F603" t="s">
        <v>21</v>
      </c>
      <c r="G603" s="16">
        <v>30</v>
      </c>
      <c r="H603" s="16"/>
    </row>
    <row r="604" spans="2:8" ht="15" customHeight="1" x14ac:dyDescent="0.25">
      <c r="B604">
        <v>596</v>
      </c>
      <c r="C604" s="5" t="s">
        <v>123</v>
      </c>
      <c r="D604" s="19">
        <v>46131</v>
      </c>
      <c r="E604" t="s">
        <v>451</v>
      </c>
      <c r="F604" t="s">
        <v>21</v>
      </c>
      <c r="G604" s="16">
        <v>732</v>
      </c>
      <c r="H604" s="16"/>
    </row>
    <row r="605" spans="2:8" ht="15" customHeight="1" x14ac:dyDescent="0.25">
      <c r="B605">
        <v>597</v>
      </c>
      <c r="C605" s="5" t="s">
        <v>123</v>
      </c>
      <c r="D605" s="19">
        <v>46131</v>
      </c>
      <c r="E605" t="s">
        <v>217</v>
      </c>
      <c r="F605" t="s">
        <v>410</v>
      </c>
      <c r="G605" s="16"/>
      <c r="H605" s="16">
        <v>3600</v>
      </c>
    </row>
    <row r="606" spans="2:8" ht="15" customHeight="1" x14ac:dyDescent="0.25">
      <c r="B606">
        <v>598</v>
      </c>
      <c r="C606" s="5" t="s">
        <v>123</v>
      </c>
      <c r="D606" s="19">
        <v>46131</v>
      </c>
      <c r="E606" t="s">
        <v>452</v>
      </c>
      <c r="F606" t="s">
        <v>23</v>
      </c>
      <c r="G606" s="16">
        <v>3600</v>
      </c>
      <c r="H606" s="16"/>
    </row>
    <row r="607" spans="2:8" ht="15" customHeight="1" x14ac:dyDescent="0.25">
      <c r="B607">
        <v>599</v>
      </c>
      <c r="C607" s="5" t="s">
        <v>123</v>
      </c>
      <c r="D607" s="19">
        <v>46131</v>
      </c>
      <c r="E607" t="s">
        <v>453</v>
      </c>
      <c r="F607" t="s">
        <v>24</v>
      </c>
      <c r="G607" s="16">
        <v>850</v>
      </c>
      <c r="H607" s="16"/>
    </row>
    <row r="608" spans="2:8" ht="15" customHeight="1" x14ac:dyDescent="0.25">
      <c r="B608">
        <v>600</v>
      </c>
      <c r="C608" s="5" t="s">
        <v>123</v>
      </c>
      <c r="D608" s="19">
        <v>46132</v>
      </c>
      <c r="E608" t="s">
        <v>454</v>
      </c>
      <c r="F608" t="s">
        <v>20</v>
      </c>
      <c r="G608" s="16">
        <v>180</v>
      </c>
      <c r="H608" s="16"/>
    </row>
    <row r="609" spans="2:8" x14ac:dyDescent="0.25">
      <c r="B609">
        <v>601</v>
      </c>
      <c r="C609" s="5" t="s">
        <v>123</v>
      </c>
      <c r="D609" s="19">
        <v>46132</v>
      </c>
      <c r="E609" t="s">
        <v>169</v>
      </c>
      <c r="F609" t="s">
        <v>21</v>
      </c>
      <c r="G609" s="16">
        <v>180</v>
      </c>
      <c r="H609" s="16"/>
    </row>
    <row r="610" spans="2:8" x14ac:dyDescent="0.25">
      <c r="B610">
        <v>602</v>
      </c>
      <c r="C610" s="5" t="s">
        <v>122</v>
      </c>
      <c r="D610" s="19">
        <v>46133</v>
      </c>
      <c r="E610" t="s">
        <v>308</v>
      </c>
      <c r="F610" t="s">
        <v>21</v>
      </c>
      <c r="G610" s="16">
        <v>62</v>
      </c>
      <c r="H610" s="16"/>
    </row>
    <row r="611" spans="2:8" x14ac:dyDescent="0.25">
      <c r="B611">
        <v>603</v>
      </c>
      <c r="C611" s="5" t="s">
        <v>122</v>
      </c>
      <c r="D611" s="19">
        <v>46133</v>
      </c>
      <c r="E611" t="s">
        <v>280</v>
      </c>
      <c r="F611" t="s">
        <v>218</v>
      </c>
      <c r="G611" s="16">
        <v>990</v>
      </c>
      <c r="H611" s="16"/>
    </row>
    <row r="612" spans="2:8" x14ac:dyDescent="0.25">
      <c r="B612">
        <v>604</v>
      </c>
      <c r="C612" s="5" t="s">
        <v>122</v>
      </c>
      <c r="D612" s="19">
        <v>46133</v>
      </c>
      <c r="E612" t="s">
        <v>455</v>
      </c>
      <c r="F612" t="s">
        <v>218</v>
      </c>
      <c r="G612" s="16">
        <v>809</v>
      </c>
      <c r="H612" s="16"/>
    </row>
    <row r="613" spans="2:8" x14ac:dyDescent="0.25">
      <c r="B613">
        <v>605</v>
      </c>
      <c r="C613" s="5" t="s">
        <v>122</v>
      </c>
      <c r="D613" s="19">
        <v>46133</v>
      </c>
      <c r="E613" t="s">
        <v>456</v>
      </c>
      <c r="F613" t="s">
        <v>14</v>
      </c>
      <c r="G613" s="16">
        <v>56</v>
      </c>
      <c r="H613" s="16"/>
    </row>
    <row r="614" spans="2:8" x14ac:dyDescent="0.25">
      <c r="B614">
        <v>606</v>
      </c>
      <c r="C614" s="5" t="s">
        <v>122</v>
      </c>
      <c r="D614" s="19">
        <v>46133</v>
      </c>
      <c r="E614" t="s">
        <v>169</v>
      </c>
      <c r="F614" t="s">
        <v>21</v>
      </c>
      <c r="G614" s="16">
        <v>40</v>
      </c>
      <c r="H614" s="16"/>
    </row>
    <row r="615" spans="2:8" x14ac:dyDescent="0.25">
      <c r="B615">
        <v>607</v>
      </c>
      <c r="C615" s="5" t="s">
        <v>122</v>
      </c>
      <c r="D615" s="19">
        <v>46134</v>
      </c>
      <c r="E615" t="s">
        <v>457</v>
      </c>
      <c r="F615" t="s">
        <v>10</v>
      </c>
      <c r="G615" s="16">
        <v>3069</v>
      </c>
      <c r="H615" s="16"/>
    </row>
    <row r="616" spans="2:8" x14ac:dyDescent="0.25">
      <c r="B616">
        <v>608</v>
      </c>
      <c r="C616" s="5" t="s">
        <v>122</v>
      </c>
      <c r="D616" s="19">
        <v>46134</v>
      </c>
      <c r="E616" t="s">
        <v>456</v>
      </c>
      <c r="F616" t="s">
        <v>14</v>
      </c>
      <c r="G616" s="16">
        <v>56</v>
      </c>
      <c r="H616" s="16"/>
    </row>
    <row r="617" spans="2:8" x14ac:dyDescent="0.25">
      <c r="B617">
        <v>609</v>
      </c>
      <c r="C617" s="5" t="s">
        <v>122</v>
      </c>
      <c r="D617" s="19">
        <v>46134</v>
      </c>
      <c r="E617" t="s">
        <v>128</v>
      </c>
      <c r="F617" t="s">
        <v>25</v>
      </c>
      <c r="G617" s="16">
        <v>45</v>
      </c>
      <c r="H617" s="16"/>
    </row>
    <row r="618" spans="2:8" x14ac:dyDescent="0.25">
      <c r="B618">
        <v>610</v>
      </c>
      <c r="C618" s="5" t="s">
        <v>123</v>
      </c>
      <c r="D618" s="19">
        <v>46134</v>
      </c>
      <c r="E618" t="s">
        <v>402</v>
      </c>
      <c r="F618" t="s">
        <v>21</v>
      </c>
      <c r="G618" s="16">
        <v>285</v>
      </c>
      <c r="H618" s="16"/>
    </row>
    <row r="619" spans="2:8" x14ac:dyDescent="0.25">
      <c r="B619">
        <v>611</v>
      </c>
      <c r="C619" s="5" t="s">
        <v>123</v>
      </c>
      <c r="D619" s="19">
        <v>46134</v>
      </c>
      <c r="E619" t="s">
        <v>156</v>
      </c>
      <c r="F619" t="s">
        <v>10</v>
      </c>
      <c r="G619" s="16">
        <v>120</v>
      </c>
      <c r="H619" s="16"/>
    </row>
    <row r="620" spans="2:8" x14ac:dyDescent="0.25">
      <c r="B620">
        <v>612</v>
      </c>
      <c r="C620" s="5" t="s">
        <v>123</v>
      </c>
      <c r="D620" s="19">
        <v>46135</v>
      </c>
      <c r="E620" t="s">
        <v>470</v>
      </c>
      <c r="F620" t="s">
        <v>10</v>
      </c>
      <c r="G620" s="16">
        <v>32</v>
      </c>
      <c r="H620" s="16"/>
    </row>
    <row r="621" spans="2:8" x14ac:dyDescent="0.25">
      <c r="B621">
        <v>613</v>
      </c>
      <c r="C621" s="5" t="s">
        <v>122</v>
      </c>
      <c r="D621" s="19">
        <v>46136</v>
      </c>
      <c r="E621" t="s">
        <v>458</v>
      </c>
      <c r="F621" t="s">
        <v>23</v>
      </c>
      <c r="G621" s="16">
        <v>280</v>
      </c>
      <c r="H621" s="16"/>
    </row>
    <row r="622" spans="2:8" x14ac:dyDescent="0.25">
      <c r="B622">
        <v>614</v>
      </c>
      <c r="C622" s="5" t="s">
        <v>122</v>
      </c>
      <c r="D622" s="19">
        <v>46136</v>
      </c>
      <c r="E622" t="s">
        <v>459</v>
      </c>
      <c r="F622" t="s">
        <v>25</v>
      </c>
      <c r="G622" s="16">
        <v>40</v>
      </c>
      <c r="H622" s="16"/>
    </row>
    <row r="623" spans="2:8" x14ac:dyDescent="0.25">
      <c r="B623">
        <v>615</v>
      </c>
      <c r="C623" s="5" t="s">
        <v>123</v>
      </c>
      <c r="D623" s="19">
        <v>46136</v>
      </c>
      <c r="E623" t="s">
        <v>290</v>
      </c>
      <c r="F623" t="s">
        <v>25</v>
      </c>
      <c r="G623" s="16">
        <v>80</v>
      </c>
      <c r="H623" s="16"/>
    </row>
    <row r="624" spans="2:8" x14ac:dyDescent="0.25">
      <c r="B624">
        <v>616</v>
      </c>
      <c r="C624" s="5" t="s">
        <v>123</v>
      </c>
      <c r="D624" s="19">
        <v>46136</v>
      </c>
      <c r="E624" t="s">
        <v>471</v>
      </c>
      <c r="F624" t="s">
        <v>25</v>
      </c>
      <c r="G624" s="16">
        <v>150</v>
      </c>
      <c r="H624" s="16"/>
    </row>
    <row r="625" spans="2:8" x14ac:dyDescent="0.25">
      <c r="B625">
        <v>617</v>
      </c>
      <c r="C625" s="5" t="s">
        <v>122</v>
      </c>
      <c r="D625" s="19">
        <v>46138</v>
      </c>
      <c r="E625" t="s">
        <v>185</v>
      </c>
      <c r="F625" t="s">
        <v>84</v>
      </c>
      <c r="G625" s="16">
        <v>200</v>
      </c>
      <c r="H625" s="16"/>
    </row>
    <row r="626" spans="2:8" x14ac:dyDescent="0.25">
      <c r="B626">
        <v>618</v>
      </c>
      <c r="C626" s="5" t="s">
        <v>122</v>
      </c>
      <c r="D626" s="19">
        <v>46138</v>
      </c>
      <c r="E626" t="s">
        <v>460</v>
      </c>
      <c r="F626" t="s">
        <v>10</v>
      </c>
      <c r="G626" s="16">
        <v>1050</v>
      </c>
      <c r="H626" s="16"/>
    </row>
    <row r="627" spans="2:8" x14ac:dyDescent="0.25">
      <c r="B627">
        <v>619</v>
      </c>
      <c r="C627" s="5" t="s">
        <v>122</v>
      </c>
      <c r="D627" s="19">
        <v>46139</v>
      </c>
      <c r="E627" t="s">
        <v>267</v>
      </c>
      <c r="F627" t="s">
        <v>10</v>
      </c>
      <c r="G627" s="16">
        <v>260</v>
      </c>
      <c r="H627" s="16"/>
    </row>
    <row r="628" spans="2:8" x14ac:dyDescent="0.25">
      <c r="B628">
        <v>620</v>
      </c>
      <c r="C628" s="5" t="s">
        <v>122</v>
      </c>
      <c r="D628" s="19">
        <v>46139</v>
      </c>
      <c r="E628" t="s">
        <v>141</v>
      </c>
      <c r="F628" t="s">
        <v>21</v>
      </c>
      <c r="G628" s="16">
        <v>559</v>
      </c>
      <c r="H628" s="16"/>
    </row>
    <row r="629" spans="2:8" x14ac:dyDescent="0.25">
      <c r="B629">
        <v>621</v>
      </c>
      <c r="C629" s="5" t="s">
        <v>122</v>
      </c>
      <c r="D629" s="19">
        <v>46139</v>
      </c>
      <c r="E629" t="s">
        <v>461</v>
      </c>
      <c r="F629" t="s">
        <v>10</v>
      </c>
      <c r="G629" s="16">
        <v>890</v>
      </c>
      <c r="H629" s="16"/>
    </row>
    <row r="630" spans="2:8" x14ac:dyDescent="0.25">
      <c r="B630">
        <v>622</v>
      </c>
      <c r="C630" s="5" t="s">
        <v>123</v>
      </c>
      <c r="D630" s="19">
        <v>46139</v>
      </c>
      <c r="E630" t="s">
        <v>124</v>
      </c>
      <c r="F630" t="s">
        <v>11</v>
      </c>
      <c r="G630" s="16">
        <v>100</v>
      </c>
      <c r="H630" s="16"/>
    </row>
    <row r="631" spans="2:8" x14ac:dyDescent="0.25">
      <c r="B631">
        <v>623</v>
      </c>
      <c r="C631" s="5" t="s">
        <v>122</v>
      </c>
      <c r="D631" s="19">
        <v>46140</v>
      </c>
      <c r="E631" t="s">
        <v>243</v>
      </c>
      <c r="F631" t="s">
        <v>21</v>
      </c>
      <c r="G631" s="16">
        <v>30</v>
      </c>
      <c r="H631" s="16"/>
    </row>
    <row r="632" spans="2:8" x14ac:dyDescent="0.25">
      <c r="B632">
        <v>624</v>
      </c>
      <c r="C632" s="5" t="s">
        <v>122</v>
      </c>
      <c r="D632" s="19">
        <v>46140</v>
      </c>
      <c r="E632" t="s">
        <v>358</v>
      </c>
      <c r="F632" t="s">
        <v>25</v>
      </c>
      <c r="G632" s="16">
        <v>208</v>
      </c>
      <c r="H632" s="16"/>
    </row>
    <row r="633" spans="2:8" x14ac:dyDescent="0.25">
      <c r="B633">
        <v>625</v>
      </c>
      <c r="C633" s="5" t="s">
        <v>122</v>
      </c>
      <c r="D633" s="19">
        <v>46140</v>
      </c>
      <c r="E633" t="s">
        <v>462</v>
      </c>
      <c r="F633" t="s">
        <v>25</v>
      </c>
      <c r="G633" s="16">
        <v>360</v>
      </c>
      <c r="H633" s="16"/>
    </row>
    <row r="634" spans="2:8" x14ac:dyDescent="0.25">
      <c r="B634">
        <v>626</v>
      </c>
      <c r="C634" s="5" t="s">
        <v>122</v>
      </c>
      <c r="D634" s="19">
        <v>46140</v>
      </c>
      <c r="E634" t="s">
        <v>463</v>
      </c>
      <c r="F634" t="s">
        <v>7</v>
      </c>
      <c r="G634" s="16">
        <v>200</v>
      </c>
      <c r="H634" s="16"/>
    </row>
    <row r="635" spans="2:8" x14ac:dyDescent="0.25">
      <c r="B635">
        <v>627</v>
      </c>
      <c r="C635" s="5" t="s">
        <v>122</v>
      </c>
      <c r="D635" s="19">
        <v>46140</v>
      </c>
      <c r="E635" t="s">
        <v>464</v>
      </c>
      <c r="F635" t="s">
        <v>15</v>
      </c>
      <c r="G635" s="16">
        <v>1149</v>
      </c>
      <c r="H635" s="16"/>
    </row>
    <row r="636" spans="2:8" x14ac:dyDescent="0.25">
      <c r="B636">
        <v>628</v>
      </c>
      <c r="C636" s="5" t="s">
        <v>122</v>
      </c>
      <c r="D636" s="19">
        <v>46140</v>
      </c>
      <c r="E636" t="s">
        <v>319</v>
      </c>
      <c r="F636" t="s">
        <v>25</v>
      </c>
      <c r="G636" s="16">
        <v>80</v>
      </c>
      <c r="H636" s="16"/>
    </row>
    <row r="637" spans="2:8" x14ac:dyDescent="0.25">
      <c r="B637">
        <v>629</v>
      </c>
      <c r="C637" s="5" t="s">
        <v>122</v>
      </c>
      <c r="D637" s="19">
        <v>46141</v>
      </c>
      <c r="E637" t="s">
        <v>243</v>
      </c>
      <c r="F637" t="s">
        <v>21</v>
      </c>
      <c r="G637" s="16">
        <v>26</v>
      </c>
      <c r="H637" s="16"/>
    </row>
    <row r="638" spans="2:8" x14ac:dyDescent="0.25">
      <c r="B638">
        <v>630</v>
      </c>
      <c r="C638" s="5" t="s">
        <v>122</v>
      </c>
      <c r="D638" s="19">
        <v>46141</v>
      </c>
      <c r="E638" t="s">
        <v>207</v>
      </c>
      <c r="F638" t="s">
        <v>25</v>
      </c>
      <c r="G638" s="16">
        <v>670</v>
      </c>
      <c r="H638" s="16"/>
    </row>
    <row r="639" spans="2:8" x14ac:dyDescent="0.25">
      <c r="B639">
        <v>631</v>
      </c>
      <c r="C639" s="5" t="s">
        <v>122</v>
      </c>
      <c r="D639" s="19">
        <v>46141</v>
      </c>
      <c r="E639" t="s">
        <v>135</v>
      </c>
      <c r="F639" t="s">
        <v>25</v>
      </c>
      <c r="G639" s="16">
        <v>30</v>
      </c>
      <c r="H639" s="16"/>
    </row>
    <row r="640" spans="2:8" x14ac:dyDescent="0.25">
      <c r="B640">
        <v>632</v>
      </c>
      <c r="C640" s="5" t="s">
        <v>122</v>
      </c>
      <c r="D640" s="19">
        <v>46141</v>
      </c>
      <c r="E640" t="s">
        <v>147</v>
      </c>
      <c r="F640" t="s">
        <v>25</v>
      </c>
      <c r="G640" s="16">
        <v>30</v>
      </c>
      <c r="H640" s="16"/>
    </row>
    <row r="641" spans="2:8" x14ac:dyDescent="0.25">
      <c r="B641">
        <v>633</v>
      </c>
      <c r="C641" s="5" t="s">
        <v>122</v>
      </c>
      <c r="D641" s="19">
        <v>46141</v>
      </c>
      <c r="E641" t="s">
        <v>203</v>
      </c>
      <c r="F641" t="s">
        <v>25</v>
      </c>
      <c r="G641" s="16">
        <v>70</v>
      </c>
      <c r="H641" s="16"/>
    </row>
    <row r="642" spans="2:8" x14ac:dyDescent="0.25">
      <c r="B642">
        <v>634</v>
      </c>
      <c r="C642" s="5" t="s">
        <v>123</v>
      </c>
      <c r="D642" s="19">
        <v>46141</v>
      </c>
      <c r="E642" t="s">
        <v>124</v>
      </c>
      <c r="F642" t="s">
        <v>36</v>
      </c>
      <c r="G642" s="16">
        <v>12000</v>
      </c>
      <c r="H642" s="16"/>
    </row>
    <row r="643" spans="2:8" x14ac:dyDescent="0.25">
      <c r="B643">
        <v>635</v>
      </c>
      <c r="C643" s="5" t="s">
        <v>122</v>
      </c>
      <c r="D643" s="19">
        <v>46142</v>
      </c>
      <c r="E643" t="s">
        <v>504</v>
      </c>
      <c r="F643" t="s">
        <v>410</v>
      </c>
      <c r="G643" s="16"/>
      <c r="H643" s="16">
        <v>4800</v>
      </c>
    </row>
    <row r="644" spans="2:8" x14ac:dyDescent="0.25">
      <c r="B644">
        <v>636</v>
      </c>
      <c r="C644" s="5" t="s">
        <v>122</v>
      </c>
      <c r="D644" s="19">
        <v>46142</v>
      </c>
      <c r="E644" t="s">
        <v>243</v>
      </c>
      <c r="F644" t="s">
        <v>21</v>
      </c>
      <c r="G644" s="16">
        <v>37</v>
      </c>
      <c r="H644" s="16"/>
    </row>
    <row r="645" spans="2:8" x14ac:dyDescent="0.25">
      <c r="B645">
        <v>637</v>
      </c>
      <c r="C645" s="5" t="s">
        <v>122</v>
      </c>
      <c r="D645" s="19">
        <v>46142</v>
      </c>
      <c r="E645" t="s">
        <v>395</v>
      </c>
      <c r="F645" t="s">
        <v>10</v>
      </c>
      <c r="G645" s="16">
        <v>324</v>
      </c>
      <c r="H645" s="16"/>
    </row>
    <row r="646" spans="2:8" x14ac:dyDescent="0.25">
      <c r="B646">
        <v>638</v>
      </c>
      <c r="C646" s="5" t="s">
        <v>122</v>
      </c>
      <c r="D646" s="19">
        <v>46142</v>
      </c>
      <c r="E646" t="s">
        <v>465</v>
      </c>
      <c r="F646" t="s">
        <v>21</v>
      </c>
      <c r="G646" s="16">
        <v>10</v>
      </c>
      <c r="H646" s="16"/>
    </row>
    <row r="647" spans="2:8" x14ac:dyDescent="0.25">
      <c r="B647">
        <v>639</v>
      </c>
      <c r="C647" s="5" t="s">
        <v>122</v>
      </c>
      <c r="D647" s="19">
        <v>46142</v>
      </c>
      <c r="E647" t="s">
        <v>466</v>
      </c>
      <c r="F647" t="s">
        <v>10</v>
      </c>
      <c r="G647" s="16">
        <v>220</v>
      </c>
      <c r="H647" s="16"/>
    </row>
    <row r="648" spans="2:8" x14ac:dyDescent="0.25">
      <c r="B648">
        <v>640</v>
      </c>
      <c r="C648" s="5" t="s">
        <v>122</v>
      </c>
      <c r="D648" s="19">
        <v>46142</v>
      </c>
      <c r="E648" t="s">
        <v>467</v>
      </c>
      <c r="F648" t="s">
        <v>25</v>
      </c>
      <c r="G648" s="16">
        <v>10</v>
      </c>
      <c r="H648" s="16"/>
    </row>
    <row r="649" spans="2:8" x14ac:dyDescent="0.25">
      <c r="B649">
        <v>641</v>
      </c>
      <c r="C649" s="5" t="s">
        <v>122</v>
      </c>
      <c r="D649" s="19">
        <v>46142</v>
      </c>
      <c r="E649" t="s">
        <v>395</v>
      </c>
      <c r="F649" t="s">
        <v>10</v>
      </c>
      <c r="G649" s="16">
        <v>120</v>
      </c>
      <c r="H649" s="16"/>
    </row>
    <row r="650" spans="2:8" x14ac:dyDescent="0.25">
      <c r="B650">
        <v>642</v>
      </c>
      <c r="C650" s="5" t="s">
        <v>122</v>
      </c>
      <c r="D650" s="19">
        <v>46142</v>
      </c>
      <c r="E650" t="s">
        <v>468</v>
      </c>
      <c r="F650" t="s">
        <v>15</v>
      </c>
      <c r="G650" s="16">
        <v>1103</v>
      </c>
      <c r="H650" s="16"/>
    </row>
    <row r="651" spans="2:8" x14ac:dyDescent="0.25">
      <c r="B651">
        <v>643</v>
      </c>
      <c r="C651" s="5" t="s">
        <v>122</v>
      </c>
      <c r="D651" s="19">
        <v>46143</v>
      </c>
      <c r="E651" t="s">
        <v>495</v>
      </c>
      <c r="F651" t="s">
        <v>85</v>
      </c>
      <c r="G651" s="16"/>
      <c r="H651" s="16">
        <v>57640</v>
      </c>
    </row>
    <row r="652" spans="2:8" x14ac:dyDescent="0.25">
      <c r="B652">
        <v>644</v>
      </c>
      <c r="C652" s="5" t="s">
        <v>122</v>
      </c>
      <c r="D652" s="19">
        <v>46143</v>
      </c>
      <c r="E652" t="s">
        <v>496</v>
      </c>
      <c r="F652" t="s">
        <v>86</v>
      </c>
      <c r="G652" s="16"/>
      <c r="H652" s="16">
        <v>48500</v>
      </c>
    </row>
    <row r="653" spans="2:8" x14ac:dyDescent="0.25">
      <c r="B653">
        <v>645</v>
      </c>
      <c r="C653" s="5" t="s">
        <v>122</v>
      </c>
      <c r="D653" s="19">
        <v>46143</v>
      </c>
      <c r="E653" t="s">
        <v>423</v>
      </c>
      <c r="F653" t="s">
        <v>10</v>
      </c>
      <c r="G653" s="16">
        <v>1065</v>
      </c>
      <c r="H653" s="16"/>
    </row>
    <row r="654" spans="2:8" x14ac:dyDescent="0.25">
      <c r="B654">
        <v>646</v>
      </c>
      <c r="C654" s="5" t="s">
        <v>122</v>
      </c>
      <c r="D654" s="19">
        <v>46143</v>
      </c>
      <c r="E654" t="s">
        <v>139</v>
      </c>
      <c r="F654" t="s">
        <v>3</v>
      </c>
      <c r="G654" s="16">
        <v>15500</v>
      </c>
      <c r="H654" s="16"/>
    </row>
    <row r="655" spans="2:8" x14ac:dyDescent="0.25">
      <c r="B655">
        <v>647</v>
      </c>
      <c r="C655" s="5" t="s">
        <v>122</v>
      </c>
      <c r="D655" s="19">
        <v>46143</v>
      </c>
      <c r="E655" t="s">
        <v>81</v>
      </c>
      <c r="F655" t="s">
        <v>81</v>
      </c>
      <c r="G655" s="16">
        <v>250</v>
      </c>
      <c r="H655" s="16"/>
    </row>
    <row r="656" spans="2:8" x14ac:dyDescent="0.25">
      <c r="B656">
        <v>648</v>
      </c>
      <c r="C656" s="5" t="s">
        <v>122</v>
      </c>
      <c r="D656" s="19">
        <v>46143</v>
      </c>
      <c r="E656" t="s">
        <v>6</v>
      </c>
      <c r="F656" t="s">
        <v>6</v>
      </c>
      <c r="G656" s="16">
        <v>817</v>
      </c>
      <c r="H656" s="16"/>
    </row>
    <row r="657" spans="2:8" x14ac:dyDescent="0.25">
      <c r="B657">
        <v>649</v>
      </c>
      <c r="C657" s="5" t="s">
        <v>122</v>
      </c>
      <c r="D657" s="19">
        <v>46144</v>
      </c>
      <c r="E657" t="s">
        <v>469</v>
      </c>
      <c r="F657" t="s">
        <v>12</v>
      </c>
      <c r="G657" s="16">
        <v>200</v>
      </c>
      <c r="H657" s="16"/>
    </row>
    <row r="658" spans="2:8" x14ac:dyDescent="0.25">
      <c r="B658">
        <v>650</v>
      </c>
      <c r="C658" s="5" t="s">
        <v>122</v>
      </c>
      <c r="D658" s="19">
        <v>46144</v>
      </c>
      <c r="E658" t="s">
        <v>469</v>
      </c>
      <c r="F658" t="s">
        <v>12</v>
      </c>
      <c r="G658" s="16">
        <v>1000</v>
      </c>
      <c r="H658" s="16"/>
    </row>
    <row r="659" spans="2:8" x14ac:dyDescent="0.25">
      <c r="B659">
        <v>651</v>
      </c>
      <c r="C659" s="5" t="s">
        <v>122</v>
      </c>
      <c r="D659" s="19">
        <v>46144</v>
      </c>
      <c r="E659" t="s">
        <v>469</v>
      </c>
      <c r="F659" t="s">
        <v>12</v>
      </c>
      <c r="G659" s="16">
        <v>750</v>
      </c>
      <c r="H659" s="16"/>
    </row>
    <row r="660" spans="2:8" x14ac:dyDescent="0.25">
      <c r="B660">
        <v>652</v>
      </c>
      <c r="C660" s="5" t="s">
        <v>122</v>
      </c>
      <c r="D660" s="19">
        <v>46144</v>
      </c>
      <c r="E660" t="s">
        <v>469</v>
      </c>
      <c r="F660" t="s">
        <v>12</v>
      </c>
      <c r="G660" s="16">
        <v>483</v>
      </c>
      <c r="H660" s="16"/>
    </row>
    <row r="661" spans="2:8" x14ac:dyDescent="0.25">
      <c r="B661">
        <v>653</v>
      </c>
      <c r="C661" s="5" t="s">
        <v>122</v>
      </c>
      <c r="D661" s="19">
        <v>46144</v>
      </c>
      <c r="E661" t="s">
        <v>478</v>
      </c>
      <c r="F661" t="s">
        <v>10</v>
      </c>
      <c r="G661" s="16">
        <v>1500</v>
      </c>
      <c r="H661" s="16"/>
    </row>
    <row r="662" spans="2:8" x14ac:dyDescent="0.25">
      <c r="B662">
        <v>654</v>
      </c>
      <c r="C662" s="5" t="s">
        <v>123</v>
      </c>
      <c r="D662" s="19">
        <v>46144</v>
      </c>
      <c r="E662" t="s">
        <v>473</v>
      </c>
      <c r="F662" t="s">
        <v>419</v>
      </c>
      <c r="G662" s="16"/>
      <c r="H662" s="16">
        <v>3000</v>
      </c>
    </row>
    <row r="663" spans="2:8" x14ac:dyDescent="0.25">
      <c r="B663">
        <v>655</v>
      </c>
      <c r="C663" s="5" t="s">
        <v>122</v>
      </c>
      <c r="D663" s="19">
        <v>46145</v>
      </c>
      <c r="E663" t="s">
        <v>278</v>
      </c>
      <c r="F663" t="s">
        <v>21</v>
      </c>
      <c r="G663" s="16">
        <v>80</v>
      </c>
      <c r="H663" s="16"/>
    </row>
    <row r="664" spans="2:8" x14ac:dyDescent="0.25">
      <c r="B664">
        <v>656</v>
      </c>
      <c r="C664" s="5" t="s">
        <v>122</v>
      </c>
      <c r="D664" s="19">
        <v>46146</v>
      </c>
      <c r="E664" t="s">
        <v>158</v>
      </c>
      <c r="F664" t="s">
        <v>8</v>
      </c>
      <c r="G664" s="16">
        <v>100</v>
      </c>
      <c r="H664" s="16"/>
    </row>
    <row r="665" spans="2:8" x14ac:dyDescent="0.25">
      <c r="B665">
        <v>657</v>
      </c>
      <c r="C665" s="5" t="s">
        <v>122</v>
      </c>
      <c r="D665" s="19">
        <v>46146</v>
      </c>
      <c r="E665" t="s">
        <v>469</v>
      </c>
      <c r="F665" t="s">
        <v>12</v>
      </c>
      <c r="G665" s="16">
        <v>300</v>
      </c>
      <c r="H665" s="16"/>
    </row>
    <row r="666" spans="2:8" x14ac:dyDescent="0.25">
      <c r="B666">
        <v>658</v>
      </c>
      <c r="C666" s="5" t="s">
        <v>122</v>
      </c>
      <c r="D666" s="19">
        <v>46146</v>
      </c>
      <c r="E666" t="s">
        <v>469</v>
      </c>
      <c r="F666" t="s">
        <v>12</v>
      </c>
      <c r="G666" s="16">
        <v>454</v>
      </c>
      <c r="H666" s="16"/>
    </row>
    <row r="667" spans="2:8" x14ac:dyDescent="0.25">
      <c r="B667">
        <v>659</v>
      </c>
      <c r="C667" s="5" t="s">
        <v>122</v>
      </c>
      <c r="D667" s="19">
        <v>46146</v>
      </c>
      <c r="E667" t="s">
        <v>474</v>
      </c>
      <c r="F667" t="s">
        <v>25</v>
      </c>
      <c r="G667" s="16">
        <v>175</v>
      </c>
      <c r="H667" s="16"/>
    </row>
    <row r="668" spans="2:8" x14ac:dyDescent="0.25">
      <c r="B668">
        <v>660</v>
      </c>
      <c r="C668" s="5" t="s">
        <v>122</v>
      </c>
      <c r="D668" s="19">
        <v>46146</v>
      </c>
      <c r="E668" t="s">
        <v>475</v>
      </c>
      <c r="F668" t="s">
        <v>25</v>
      </c>
      <c r="G668" s="16">
        <v>340</v>
      </c>
      <c r="H668" s="16"/>
    </row>
    <row r="669" spans="2:8" x14ac:dyDescent="0.25">
      <c r="B669">
        <v>661</v>
      </c>
      <c r="C669" s="5" t="s">
        <v>122</v>
      </c>
      <c r="D669" s="19">
        <v>46146</v>
      </c>
      <c r="E669" t="s">
        <v>476</v>
      </c>
      <c r="F669" t="s">
        <v>10</v>
      </c>
      <c r="G669" s="16">
        <v>1945</v>
      </c>
      <c r="H669" s="16"/>
    </row>
    <row r="670" spans="2:8" x14ac:dyDescent="0.25">
      <c r="B670">
        <v>662</v>
      </c>
      <c r="C670" s="5" t="s">
        <v>122</v>
      </c>
      <c r="D670" s="19">
        <v>46147</v>
      </c>
      <c r="E670" t="s">
        <v>479</v>
      </c>
      <c r="F670" t="s">
        <v>408</v>
      </c>
      <c r="G670" s="16">
        <v>3395</v>
      </c>
      <c r="H670" s="16"/>
    </row>
    <row r="671" spans="2:8" x14ac:dyDescent="0.25">
      <c r="B671">
        <v>663</v>
      </c>
      <c r="C671" s="5" t="s">
        <v>122</v>
      </c>
      <c r="D671" s="19">
        <v>46147</v>
      </c>
      <c r="E671" t="s">
        <v>477</v>
      </c>
      <c r="F671" t="s">
        <v>10</v>
      </c>
      <c r="G671" s="16">
        <v>1352</v>
      </c>
      <c r="H671" s="16"/>
    </row>
    <row r="672" spans="2:8" x14ac:dyDescent="0.25">
      <c r="B672">
        <v>664</v>
      </c>
      <c r="C672" s="5" t="s">
        <v>123</v>
      </c>
      <c r="D672" s="19">
        <v>46147</v>
      </c>
      <c r="E672" t="s">
        <v>141</v>
      </c>
      <c r="F672" t="s">
        <v>21</v>
      </c>
      <c r="G672" s="16">
        <f>1349+212</f>
        <v>1561</v>
      </c>
      <c r="H672" s="16"/>
    </row>
    <row r="673" spans="2:8" x14ac:dyDescent="0.25">
      <c r="B673">
        <v>665</v>
      </c>
      <c r="C673" s="5" t="s">
        <v>123</v>
      </c>
      <c r="D673" s="19">
        <v>46147</v>
      </c>
      <c r="E673" t="s">
        <v>286</v>
      </c>
      <c r="F673" t="s">
        <v>218</v>
      </c>
      <c r="G673" s="16">
        <v>970</v>
      </c>
      <c r="H673" s="16"/>
    </row>
    <row r="674" spans="2:8" x14ac:dyDescent="0.25">
      <c r="B674">
        <v>666</v>
      </c>
      <c r="C674" s="5" t="s">
        <v>122</v>
      </c>
      <c r="D674" s="19">
        <v>46148</v>
      </c>
      <c r="E674" t="s">
        <v>381</v>
      </c>
      <c r="F674" t="s">
        <v>21</v>
      </c>
      <c r="G674" s="16">
        <v>68</v>
      </c>
      <c r="H674" s="16"/>
    </row>
    <row r="675" spans="2:8" x14ac:dyDescent="0.25">
      <c r="B675">
        <v>667</v>
      </c>
      <c r="C675" s="5" t="s">
        <v>122</v>
      </c>
      <c r="D675" s="19">
        <v>46148</v>
      </c>
      <c r="E675" t="s">
        <v>479</v>
      </c>
      <c r="F675" t="s">
        <v>408</v>
      </c>
      <c r="G675" s="16">
        <v>19213</v>
      </c>
      <c r="H675" s="16"/>
    </row>
    <row r="676" spans="2:8" x14ac:dyDescent="0.25">
      <c r="B676">
        <v>668</v>
      </c>
      <c r="C676" s="5" t="s">
        <v>122</v>
      </c>
      <c r="D676" s="19">
        <v>46148</v>
      </c>
      <c r="E676" t="s">
        <v>179</v>
      </c>
      <c r="F676" t="s">
        <v>408</v>
      </c>
      <c r="G676" s="16">
        <v>4800</v>
      </c>
      <c r="H676" s="16"/>
    </row>
    <row r="677" spans="2:8" x14ac:dyDescent="0.25">
      <c r="B677">
        <v>669</v>
      </c>
      <c r="C677" s="5" t="s">
        <v>122</v>
      </c>
      <c r="D677" s="19">
        <v>46148</v>
      </c>
      <c r="E677" t="s">
        <v>179</v>
      </c>
      <c r="F677" t="s">
        <v>83</v>
      </c>
      <c r="G677" s="16">
        <v>5000</v>
      </c>
      <c r="H677" s="16"/>
    </row>
    <row r="678" spans="2:8" x14ac:dyDescent="0.25">
      <c r="B678">
        <v>670</v>
      </c>
      <c r="C678" s="5" t="s">
        <v>122</v>
      </c>
      <c r="D678" s="19">
        <v>46148</v>
      </c>
      <c r="E678" t="s">
        <v>319</v>
      </c>
      <c r="F678" t="s">
        <v>25</v>
      </c>
      <c r="G678" s="16">
        <v>80</v>
      </c>
      <c r="H678" s="16"/>
    </row>
    <row r="679" spans="2:8" x14ac:dyDescent="0.25">
      <c r="B679">
        <v>671</v>
      </c>
      <c r="C679" s="5" t="s">
        <v>122</v>
      </c>
      <c r="D679" s="19">
        <v>46148</v>
      </c>
      <c r="E679" t="s">
        <v>290</v>
      </c>
      <c r="F679" t="s">
        <v>25</v>
      </c>
      <c r="G679" s="16">
        <v>70</v>
      </c>
      <c r="H679" s="16"/>
    </row>
    <row r="680" spans="2:8" x14ac:dyDescent="0.25">
      <c r="B680">
        <v>672</v>
      </c>
      <c r="C680" s="5" t="s">
        <v>123</v>
      </c>
      <c r="D680" s="19">
        <v>46148</v>
      </c>
      <c r="E680" t="s">
        <v>95</v>
      </c>
      <c r="F680" t="s">
        <v>21</v>
      </c>
      <c r="G680" s="16">
        <v>1057</v>
      </c>
      <c r="H680" s="16"/>
    </row>
    <row r="681" spans="2:8" x14ac:dyDescent="0.25">
      <c r="B681">
        <v>673</v>
      </c>
      <c r="C681" s="5" t="s">
        <v>122</v>
      </c>
      <c r="D681" s="19">
        <v>46149</v>
      </c>
      <c r="E681" t="s">
        <v>178</v>
      </c>
      <c r="F681" t="s">
        <v>84</v>
      </c>
      <c r="G681" s="16">
        <v>4621</v>
      </c>
      <c r="H681" s="16"/>
    </row>
    <row r="682" spans="2:8" x14ac:dyDescent="0.25">
      <c r="B682">
        <v>674</v>
      </c>
      <c r="C682" s="5" t="s">
        <v>122</v>
      </c>
      <c r="D682" s="19">
        <v>46149</v>
      </c>
      <c r="E682" t="s">
        <v>243</v>
      </c>
      <c r="F682" t="s">
        <v>21</v>
      </c>
      <c r="G682" s="16">
        <v>27</v>
      </c>
      <c r="H682" s="16"/>
    </row>
    <row r="683" spans="2:8" x14ac:dyDescent="0.25">
      <c r="B683">
        <v>675</v>
      </c>
      <c r="C683" s="5" t="s">
        <v>122</v>
      </c>
      <c r="D683" s="19">
        <v>46149</v>
      </c>
      <c r="E683" t="s">
        <v>381</v>
      </c>
      <c r="F683" t="s">
        <v>21</v>
      </c>
      <c r="G683" s="16">
        <v>67</v>
      </c>
      <c r="H683" s="16"/>
    </row>
    <row r="684" spans="2:8" x14ac:dyDescent="0.25">
      <c r="B684">
        <v>676</v>
      </c>
      <c r="C684" s="5" t="s">
        <v>122</v>
      </c>
      <c r="D684" s="19">
        <v>46151</v>
      </c>
      <c r="E684" t="s">
        <v>480</v>
      </c>
      <c r="F684" t="s">
        <v>11</v>
      </c>
      <c r="G684" s="16">
        <v>410</v>
      </c>
      <c r="H684" s="16"/>
    </row>
    <row r="685" spans="2:8" x14ac:dyDescent="0.25">
      <c r="B685">
        <v>677</v>
      </c>
      <c r="C685" s="5" t="s">
        <v>122</v>
      </c>
      <c r="D685" s="19">
        <v>46151</v>
      </c>
      <c r="E685" t="s">
        <v>441</v>
      </c>
      <c r="F685" t="s">
        <v>25</v>
      </c>
      <c r="G685" s="16">
        <v>173</v>
      </c>
      <c r="H685" s="16"/>
    </row>
    <row r="686" spans="2:8" x14ac:dyDescent="0.25">
      <c r="B686">
        <v>678</v>
      </c>
      <c r="C686" s="5" t="s">
        <v>123</v>
      </c>
      <c r="D686" s="19">
        <v>46151</v>
      </c>
      <c r="E686" t="s">
        <v>508</v>
      </c>
      <c r="F686" t="s">
        <v>29</v>
      </c>
      <c r="G686" s="16">
        <v>740</v>
      </c>
      <c r="H686" s="16"/>
    </row>
    <row r="687" spans="2:8" x14ac:dyDescent="0.25">
      <c r="B687">
        <v>679</v>
      </c>
      <c r="C687" s="5" t="s">
        <v>122</v>
      </c>
      <c r="D687" s="19">
        <v>46152</v>
      </c>
      <c r="E687" t="s">
        <v>259</v>
      </c>
      <c r="F687" t="s">
        <v>10</v>
      </c>
      <c r="G687" s="16">
        <v>110</v>
      </c>
      <c r="H687" s="16"/>
    </row>
    <row r="688" spans="2:8" x14ac:dyDescent="0.25">
      <c r="B688">
        <v>680</v>
      </c>
      <c r="C688" s="5" t="s">
        <v>122</v>
      </c>
      <c r="D688" s="19">
        <v>46152</v>
      </c>
      <c r="E688" t="s">
        <v>95</v>
      </c>
      <c r="F688" t="s">
        <v>21</v>
      </c>
      <c r="G688" s="16">
        <v>1183</v>
      </c>
      <c r="H688" s="16"/>
    </row>
    <row r="689" spans="2:8" x14ac:dyDescent="0.25">
      <c r="B689">
        <v>681</v>
      </c>
      <c r="C689" s="5" t="s">
        <v>122</v>
      </c>
      <c r="D689" s="19">
        <v>46154</v>
      </c>
      <c r="E689" t="s">
        <v>481</v>
      </c>
      <c r="F689" t="s">
        <v>11</v>
      </c>
      <c r="G689" s="16">
        <v>30</v>
      </c>
      <c r="H689" s="16"/>
    </row>
    <row r="690" spans="2:8" x14ac:dyDescent="0.25">
      <c r="B690">
        <v>682</v>
      </c>
      <c r="C690" s="5" t="s">
        <v>122</v>
      </c>
      <c r="D690" s="19">
        <v>46154</v>
      </c>
      <c r="E690" t="s">
        <v>158</v>
      </c>
      <c r="F690" t="s">
        <v>8</v>
      </c>
      <c r="G690" s="16">
        <v>200</v>
      </c>
      <c r="H690" s="16"/>
    </row>
    <row r="691" spans="2:8" x14ac:dyDescent="0.25">
      <c r="B691">
        <v>683</v>
      </c>
      <c r="C691" s="5" t="s">
        <v>122</v>
      </c>
      <c r="D691" s="19">
        <v>46154</v>
      </c>
      <c r="E691" t="s">
        <v>482</v>
      </c>
      <c r="F691" t="s">
        <v>11</v>
      </c>
      <c r="G691" s="16">
        <v>90</v>
      </c>
      <c r="H691" s="16"/>
    </row>
    <row r="692" spans="2:8" x14ac:dyDescent="0.25">
      <c r="B692">
        <v>684</v>
      </c>
      <c r="C692" s="5" t="s">
        <v>122</v>
      </c>
      <c r="D692" s="19">
        <v>46154</v>
      </c>
      <c r="E692" t="s">
        <v>128</v>
      </c>
      <c r="F692" t="s">
        <v>25</v>
      </c>
      <c r="G692" s="16">
        <v>40</v>
      </c>
      <c r="H692" s="16"/>
    </row>
    <row r="693" spans="2:8" x14ac:dyDescent="0.25">
      <c r="B693">
        <v>685</v>
      </c>
      <c r="C693" s="5" t="s">
        <v>122</v>
      </c>
      <c r="D693" s="19">
        <v>46154</v>
      </c>
      <c r="E693" t="s">
        <v>381</v>
      </c>
      <c r="F693" t="s">
        <v>25</v>
      </c>
      <c r="G693" s="16">
        <v>85</v>
      </c>
      <c r="H693" s="16"/>
    </row>
    <row r="694" spans="2:8" x14ac:dyDescent="0.25">
      <c r="B694">
        <v>686</v>
      </c>
      <c r="C694" s="5" t="s">
        <v>122</v>
      </c>
      <c r="D694" s="19">
        <v>46154</v>
      </c>
      <c r="E694" t="s">
        <v>319</v>
      </c>
      <c r="F694" t="s">
        <v>25</v>
      </c>
      <c r="G694" s="16">
        <v>160</v>
      </c>
      <c r="H694" s="16"/>
    </row>
    <row r="695" spans="2:8" x14ac:dyDescent="0.25">
      <c r="B695">
        <v>687</v>
      </c>
      <c r="C695" s="5" t="s">
        <v>122</v>
      </c>
      <c r="D695" s="19">
        <v>46154</v>
      </c>
      <c r="E695" t="s">
        <v>483</v>
      </c>
      <c r="F695" t="s">
        <v>25</v>
      </c>
      <c r="G695" s="16">
        <v>200</v>
      </c>
      <c r="H695" s="16"/>
    </row>
    <row r="696" spans="2:8" x14ac:dyDescent="0.25">
      <c r="B696">
        <v>688</v>
      </c>
      <c r="C696" s="5" t="s">
        <v>122</v>
      </c>
      <c r="D696" s="19">
        <v>46154</v>
      </c>
      <c r="E696" t="s">
        <v>493</v>
      </c>
      <c r="F696" t="s">
        <v>11</v>
      </c>
      <c r="G696" s="16">
        <v>300</v>
      </c>
      <c r="H696" s="16"/>
    </row>
    <row r="697" spans="2:8" x14ac:dyDescent="0.25">
      <c r="B697">
        <v>689</v>
      </c>
      <c r="C697" s="5" t="s">
        <v>122</v>
      </c>
      <c r="D697" s="19">
        <v>46155</v>
      </c>
      <c r="E697" t="s">
        <v>243</v>
      </c>
      <c r="F697" t="s">
        <v>21</v>
      </c>
      <c r="G697" s="16">
        <v>27</v>
      </c>
      <c r="H697" s="16"/>
    </row>
    <row r="698" spans="2:8" x14ac:dyDescent="0.25">
      <c r="B698">
        <v>690</v>
      </c>
      <c r="C698" s="5" t="s">
        <v>122</v>
      </c>
      <c r="D698" s="19">
        <v>46155</v>
      </c>
      <c r="E698" t="s">
        <v>25</v>
      </c>
      <c r="F698" t="s">
        <v>25</v>
      </c>
      <c r="G698" s="16">
        <v>125</v>
      </c>
      <c r="H698" s="16"/>
    </row>
    <row r="699" spans="2:8" x14ac:dyDescent="0.25">
      <c r="B699">
        <v>691</v>
      </c>
      <c r="C699" s="5" t="s">
        <v>122</v>
      </c>
      <c r="D699" s="19">
        <v>46156</v>
      </c>
      <c r="E699" t="s">
        <v>144</v>
      </c>
      <c r="F699" t="s">
        <v>21</v>
      </c>
      <c r="G699" s="16">
        <v>589</v>
      </c>
      <c r="H699" s="16"/>
    </row>
    <row r="700" spans="2:8" x14ac:dyDescent="0.25">
      <c r="B700">
        <v>692</v>
      </c>
      <c r="C700" s="5" t="s">
        <v>122</v>
      </c>
      <c r="D700" s="19">
        <v>46156</v>
      </c>
      <c r="E700" t="s">
        <v>147</v>
      </c>
      <c r="F700" t="s">
        <v>25</v>
      </c>
      <c r="G700" s="16">
        <v>40</v>
      </c>
      <c r="H700" s="16"/>
    </row>
    <row r="701" spans="2:8" x14ac:dyDescent="0.25">
      <c r="B701">
        <v>693</v>
      </c>
      <c r="C701" s="5" t="s">
        <v>122</v>
      </c>
      <c r="D701" s="19">
        <v>46156</v>
      </c>
      <c r="E701" t="s">
        <v>203</v>
      </c>
      <c r="F701" t="s">
        <v>25</v>
      </c>
      <c r="G701" s="16">
        <v>150</v>
      </c>
      <c r="H701" s="16"/>
    </row>
    <row r="702" spans="2:8" x14ac:dyDescent="0.25">
      <c r="B702">
        <v>694</v>
      </c>
      <c r="C702" s="5" t="s">
        <v>122</v>
      </c>
      <c r="D702" s="19">
        <v>46156</v>
      </c>
      <c r="E702" t="s">
        <v>243</v>
      </c>
      <c r="F702" t="s">
        <v>21</v>
      </c>
      <c r="G702" s="16">
        <v>27</v>
      </c>
      <c r="H702" s="16"/>
    </row>
    <row r="703" spans="2:8" x14ac:dyDescent="0.25">
      <c r="B703">
        <v>695</v>
      </c>
      <c r="C703" s="5" t="s">
        <v>122</v>
      </c>
      <c r="D703" s="19">
        <v>46157</v>
      </c>
      <c r="E703" t="s">
        <v>494</v>
      </c>
      <c r="F703" t="s">
        <v>11</v>
      </c>
      <c r="G703" s="16">
        <v>1100</v>
      </c>
      <c r="H703" s="16"/>
    </row>
    <row r="704" spans="2:8" x14ac:dyDescent="0.25">
      <c r="B704">
        <v>696</v>
      </c>
      <c r="C704" s="5" t="s">
        <v>122</v>
      </c>
      <c r="D704" s="19">
        <v>46158</v>
      </c>
      <c r="E704" t="s">
        <v>243</v>
      </c>
      <c r="F704" t="s">
        <v>21</v>
      </c>
      <c r="G704" s="16">
        <v>75</v>
      </c>
      <c r="H704" s="16"/>
    </row>
    <row r="705" spans="2:8" x14ac:dyDescent="0.25">
      <c r="B705">
        <v>697</v>
      </c>
      <c r="C705" s="5" t="s">
        <v>122</v>
      </c>
      <c r="D705" s="19">
        <v>46158</v>
      </c>
      <c r="E705" t="s">
        <v>340</v>
      </c>
      <c r="F705" t="s">
        <v>7</v>
      </c>
      <c r="G705" s="16">
        <v>1500</v>
      </c>
      <c r="H705" s="16"/>
    </row>
    <row r="706" spans="2:8" x14ac:dyDescent="0.25">
      <c r="B706">
        <v>698</v>
      </c>
      <c r="C706" s="5" t="s">
        <v>122</v>
      </c>
      <c r="D706" s="19">
        <v>46158</v>
      </c>
      <c r="E706" t="s">
        <v>340</v>
      </c>
      <c r="F706" t="s">
        <v>21</v>
      </c>
      <c r="G706" s="16">
        <f>3725.66-1500</f>
        <v>2225.66</v>
      </c>
      <c r="H706" s="16"/>
    </row>
    <row r="707" spans="2:8" x14ac:dyDescent="0.25">
      <c r="B707">
        <v>699</v>
      </c>
      <c r="C707" s="5" t="s">
        <v>122</v>
      </c>
      <c r="D707" s="19">
        <v>46158</v>
      </c>
      <c r="E707" t="s">
        <v>209</v>
      </c>
      <c r="F707" t="s">
        <v>25</v>
      </c>
      <c r="G707" s="16">
        <v>360</v>
      </c>
      <c r="H707" s="16"/>
    </row>
    <row r="708" spans="2:8" x14ac:dyDescent="0.25">
      <c r="B708">
        <v>700</v>
      </c>
      <c r="C708" s="5" t="s">
        <v>122</v>
      </c>
      <c r="D708" s="19">
        <v>46158</v>
      </c>
      <c r="E708" t="s">
        <v>203</v>
      </c>
      <c r="F708" t="s">
        <v>25</v>
      </c>
      <c r="G708" s="16">
        <v>140</v>
      </c>
      <c r="H708" s="16"/>
    </row>
    <row r="709" spans="2:8" x14ac:dyDescent="0.25">
      <c r="B709">
        <v>701</v>
      </c>
      <c r="C709" s="5" t="s">
        <v>122</v>
      </c>
      <c r="D709" s="19">
        <v>46158</v>
      </c>
      <c r="E709" t="s">
        <v>377</v>
      </c>
      <c r="F709" t="s">
        <v>29</v>
      </c>
      <c r="G709" s="16">
        <v>500</v>
      </c>
      <c r="H709" s="16"/>
    </row>
    <row r="710" spans="2:8" x14ac:dyDescent="0.25">
      <c r="B710">
        <v>702</v>
      </c>
      <c r="C710" s="5" t="s">
        <v>123</v>
      </c>
      <c r="D710" s="19">
        <v>46158</v>
      </c>
      <c r="E710" t="s">
        <v>340</v>
      </c>
      <c r="F710" t="s">
        <v>25</v>
      </c>
      <c r="G710" s="16">
        <v>20</v>
      </c>
      <c r="H710" s="16"/>
    </row>
    <row r="711" spans="2:8" x14ac:dyDescent="0.25">
      <c r="B711">
        <v>703</v>
      </c>
      <c r="C711" s="5" t="s">
        <v>123</v>
      </c>
      <c r="D711" s="19">
        <v>46158</v>
      </c>
      <c r="E711" t="s">
        <v>141</v>
      </c>
      <c r="F711" t="s">
        <v>21</v>
      </c>
      <c r="G711" s="16">
        <v>615</v>
      </c>
      <c r="H711" s="16"/>
    </row>
    <row r="712" spans="2:8" x14ac:dyDescent="0.25">
      <c r="B712">
        <v>704</v>
      </c>
      <c r="C712" s="5" t="s">
        <v>123</v>
      </c>
      <c r="D712" s="19">
        <v>46158</v>
      </c>
      <c r="E712" t="s">
        <v>509</v>
      </c>
      <c r="F712" t="s">
        <v>21</v>
      </c>
      <c r="G712" s="16">
        <v>364</v>
      </c>
      <c r="H712" s="16"/>
    </row>
    <row r="713" spans="2:8" x14ac:dyDescent="0.25">
      <c r="B713">
        <v>705</v>
      </c>
      <c r="C713" s="5" t="s">
        <v>123</v>
      </c>
      <c r="D713" s="19">
        <v>46158</v>
      </c>
      <c r="E713" t="s">
        <v>450</v>
      </c>
      <c r="F713" t="s">
        <v>21</v>
      </c>
      <c r="G713" s="16">
        <v>290</v>
      </c>
      <c r="H713" s="16"/>
    </row>
    <row r="714" spans="2:8" x14ac:dyDescent="0.25">
      <c r="B714">
        <v>706</v>
      </c>
      <c r="C714" s="5" t="s">
        <v>122</v>
      </c>
      <c r="D714" s="19">
        <v>46159</v>
      </c>
      <c r="E714" t="s">
        <v>312</v>
      </c>
      <c r="F714" t="s">
        <v>25</v>
      </c>
      <c r="G714" s="16">
        <v>906</v>
      </c>
      <c r="H714" s="16"/>
    </row>
    <row r="715" spans="2:8" x14ac:dyDescent="0.25">
      <c r="B715">
        <v>707</v>
      </c>
      <c r="C715" s="5" t="s">
        <v>122</v>
      </c>
      <c r="D715" s="19">
        <v>46159</v>
      </c>
      <c r="E715" t="s">
        <v>484</v>
      </c>
      <c r="F715" t="s">
        <v>25</v>
      </c>
      <c r="G715" s="16">
        <v>410</v>
      </c>
      <c r="H715" s="16"/>
    </row>
    <row r="716" spans="2:8" x14ac:dyDescent="0.25">
      <c r="B716">
        <v>708</v>
      </c>
      <c r="C716" s="5" t="s">
        <v>122</v>
      </c>
      <c r="D716" s="19">
        <v>46159</v>
      </c>
      <c r="E716" t="s">
        <v>485</v>
      </c>
      <c r="F716" t="s">
        <v>25</v>
      </c>
      <c r="G716" s="16">
        <v>65</v>
      </c>
      <c r="H716" s="16"/>
    </row>
    <row r="717" spans="2:8" x14ac:dyDescent="0.25">
      <c r="B717">
        <v>709</v>
      </c>
      <c r="C717" s="5" t="s">
        <v>122</v>
      </c>
      <c r="D717" s="19">
        <v>46159</v>
      </c>
      <c r="E717" t="s">
        <v>259</v>
      </c>
      <c r="F717" t="s">
        <v>10</v>
      </c>
      <c r="G717" s="16">
        <v>30</v>
      </c>
      <c r="H717" s="16"/>
    </row>
    <row r="718" spans="2:8" x14ac:dyDescent="0.25">
      <c r="B718">
        <v>710</v>
      </c>
      <c r="C718" s="5" t="s">
        <v>123</v>
      </c>
      <c r="D718" s="19">
        <v>46159</v>
      </c>
      <c r="E718" t="s">
        <v>147</v>
      </c>
      <c r="F718" t="s">
        <v>25</v>
      </c>
      <c r="G718" s="16">
        <v>147</v>
      </c>
      <c r="H718" s="16"/>
    </row>
    <row r="719" spans="2:8" x14ac:dyDescent="0.25">
      <c r="B719">
        <v>711</v>
      </c>
      <c r="C719" s="5" t="s">
        <v>122</v>
      </c>
      <c r="D719" s="19">
        <v>46160</v>
      </c>
      <c r="E719" t="s">
        <v>486</v>
      </c>
      <c r="F719" t="s">
        <v>12</v>
      </c>
      <c r="G719" s="16">
        <v>185</v>
      </c>
      <c r="H719" s="16"/>
    </row>
    <row r="720" spans="2:8" x14ac:dyDescent="0.25">
      <c r="B720">
        <v>712</v>
      </c>
      <c r="C720" s="5" t="s">
        <v>122</v>
      </c>
      <c r="D720" s="19">
        <v>46160</v>
      </c>
      <c r="E720" t="s">
        <v>487</v>
      </c>
      <c r="F720" t="s">
        <v>25</v>
      </c>
      <c r="G720" s="16">
        <v>330</v>
      </c>
      <c r="H720" s="16"/>
    </row>
    <row r="721" spans="2:8" x14ac:dyDescent="0.25">
      <c r="B721">
        <v>713</v>
      </c>
      <c r="C721" s="5" t="s">
        <v>123</v>
      </c>
      <c r="D721" s="19">
        <v>46160</v>
      </c>
      <c r="E721" t="s">
        <v>486</v>
      </c>
      <c r="F721" t="s">
        <v>12</v>
      </c>
      <c r="G721" s="16">
        <v>1142</v>
      </c>
      <c r="H721" s="16"/>
    </row>
    <row r="722" spans="2:8" x14ac:dyDescent="0.25">
      <c r="B722">
        <v>714</v>
      </c>
      <c r="C722" s="5" t="s">
        <v>123</v>
      </c>
      <c r="D722" s="19">
        <v>46160</v>
      </c>
      <c r="E722" t="s">
        <v>510</v>
      </c>
      <c r="F722" t="s">
        <v>21</v>
      </c>
      <c r="G722" s="16">
        <f>55+20</f>
        <v>75</v>
      </c>
      <c r="H722" s="16"/>
    </row>
    <row r="723" spans="2:8" x14ac:dyDescent="0.25">
      <c r="B723">
        <v>715</v>
      </c>
      <c r="C723" s="5" t="s">
        <v>122</v>
      </c>
      <c r="D723" s="19">
        <v>46161</v>
      </c>
      <c r="E723" t="s">
        <v>488</v>
      </c>
      <c r="F723" t="s">
        <v>11</v>
      </c>
      <c r="G723" s="16">
        <v>140</v>
      </c>
      <c r="H723" s="16"/>
    </row>
    <row r="724" spans="2:8" x14ac:dyDescent="0.25">
      <c r="B724">
        <v>717</v>
      </c>
      <c r="C724" s="5" t="s">
        <v>122</v>
      </c>
      <c r="D724" s="19">
        <v>46162</v>
      </c>
      <c r="E724" t="s">
        <v>243</v>
      </c>
      <c r="F724" t="s">
        <v>21</v>
      </c>
      <c r="G724" s="16">
        <v>67</v>
      </c>
      <c r="H724" s="16"/>
    </row>
    <row r="725" spans="2:8" x14ac:dyDescent="0.25">
      <c r="B725">
        <v>718</v>
      </c>
      <c r="C725" s="5" t="s">
        <v>122</v>
      </c>
      <c r="D725" s="19">
        <v>46163</v>
      </c>
      <c r="E725" t="s">
        <v>489</v>
      </c>
      <c r="F725" t="s">
        <v>10</v>
      </c>
      <c r="G725" s="16">
        <v>550</v>
      </c>
      <c r="H725" s="16"/>
    </row>
    <row r="726" spans="2:8" x14ac:dyDescent="0.25">
      <c r="B726">
        <v>719</v>
      </c>
      <c r="C726" s="5" t="s">
        <v>122</v>
      </c>
      <c r="D726" s="19">
        <v>46163</v>
      </c>
      <c r="E726" t="s">
        <v>489</v>
      </c>
      <c r="F726" t="s">
        <v>10</v>
      </c>
      <c r="G726" s="16">
        <v>480</v>
      </c>
      <c r="H726" s="16"/>
    </row>
    <row r="727" spans="2:8" x14ac:dyDescent="0.25">
      <c r="B727">
        <v>720</v>
      </c>
      <c r="C727" s="5" t="s">
        <v>122</v>
      </c>
      <c r="D727" s="19">
        <v>46163</v>
      </c>
      <c r="E727" t="s">
        <v>147</v>
      </c>
      <c r="F727" t="s">
        <v>25</v>
      </c>
      <c r="G727" s="16">
        <v>45</v>
      </c>
      <c r="H727" s="16"/>
    </row>
    <row r="728" spans="2:8" x14ac:dyDescent="0.25">
      <c r="B728">
        <v>721</v>
      </c>
      <c r="C728" s="5" t="s">
        <v>122</v>
      </c>
      <c r="D728" s="19">
        <v>46163</v>
      </c>
      <c r="E728" t="s">
        <v>490</v>
      </c>
      <c r="F728" t="s">
        <v>25</v>
      </c>
      <c r="G728" s="16">
        <v>350</v>
      </c>
      <c r="H728" s="16"/>
    </row>
    <row r="729" spans="2:8" x14ac:dyDescent="0.25">
      <c r="B729">
        <v>722</v>
      </c>
      <c r="C729" s="5" t="s">
        <v>122</v>
      </c>
      <c r="D729" s="19">
        <v>46163</v>
      </c>
      <c r="E729" t="s">
        <v>249</v>
      </c>
      <c r="F729" t="s">
        <v>218</v>
      </c>
      <c r="G729" s="16">
        <v>353</v>
      </c>
      <c r="H729" s="16"/>
    </row>
    <row r="730" spans="2:8" x14ac:dyDescent="0.25">
      <c r="B730">
        <v>723</v>
      </c>
      <c r="C730" s="5" t="s">
        <v>122</v>
      </c>
      <c r="D730" s="19">
        <v>46163</v>
      </c>
      <c r="E730" t="s">
        <v>491</v>
      </c>
      <c r="F730" t="s">
        <v>25</v>
      </c>
      <c r="G730" s="16">
        <v>150</v>
      </c>
      <c r="H730" s="16"/>
    </row>
    <row r="731" spans="2:8" x14ac:dyDescent="0.25">
      <c r="B731">
        <v>724</v>
      </c>
      <c r="C731" s="5" t="s">
        <v>123</v>
      </c>
      <c r="D731" s="19">
        <v>46163</v>
      </c>
      <c r="E731" t="s">
        <v>511</v>
      </c>
      <c r="F731" t="s">
        <v>10</v>
      </c>
      <c r="G731" s="16">
        <v>23</v>
      </c>
      <c r="H731" s="16"/>
    </row>
    <row r="732" spans="2:8" x14ac:dyDescent="0.25">
      <c r="B732">
        <v>725</v>
      </c>
      <c r="C732" s="5" t="s">
        <v>123</v>
      </c>
      <c r="D732" s="19">
        <v>46163</v>
      </c>
      <c r="E732" t="s">
        <v>511</v>
      </c>
      <c r="F732" t="s">
        <v>10</v>
      </c>
      <c r="G732" s="16">
        <v>35</v>
      </c>
      <c r="H732" s="16"/>
    </row>
    <row r="733" spans="2:8" x14ac:dyDescent="0.25">
      <c r="B733">
        <v>726</v>
      </c>
      <c r="C733" s="5" t="s">
        <v>122</v>
      </c>
      <c r="D733" s="19">
        <v>46164</v>
      </c>
      <c r="E733" t="s">
        <v>243</v>
      </c>
      <c r="F733" t="s">
        <v>21</v>
      </c>
      <c r="G733" s="16">
        <v>27</v>
      </c>
      <c r="H733" s="16"/>
    </row>
    <row r="734" spans="2:8" x14ac:dyDescent="0.25">
      <c r="B734">
        <v>727</v>
      </c>
      <c r="C734" s="5" t="s">
        <v>122</v>
      </c>
      <c r="D734" s="19">
        <v>46164</v>
      </c>
      <c r="E734" t="s">
        <v>515</v>
      </c>
      <c r="F734" t="s">
        <v>218</v>
      </c>
      <c r="G734" s="16">
        <v>899</v>
      </c>
      <c r="H734" s="16"/>
    </row>
    <row r="735" spans="2:8" x14ac:dyDescent="0.25">
      <c r="B735">
        <v>728</v>
      </c>
      <c r="C735" s="5" t="s">
        <v>123</v>
      </c>
      <c r="D735" s="19">
        <v>46164</v>
      </c>
      <c r="E735" t="s">
        <v>511</v>
      </c>
      <c r="F735" t="s">
        <v>10</v>
      </c>
      <c r="G735" s="16">
        <v>28</v>
      </c>
      <c r="H735" s="16"/>
    </row>
    <row r="736" spans="2:8" x14ac:dyDescent="0.25">
      <c r="B736">
        <v>729</v>
      </c>
      <c r="C736" s="5" t="s">
        <v>123</v>
      </c>
      <c r="D736" s="19">
        <v>46164</v>
      </c>
      <c r="E736" t="s">
        <v>511</v>
      </c>
      <c r="F736" t="s">
        <v>10</v>
      </c>
      <c r="G736" s="16">
        <v>24</v>
      </c>
      <c r="H736" s="16"/>
    </row>
    <row r="737" spans="2:8" x14ac:dyDescent="0.25">
      <c r="B737">
        <v>730</v>
      </c>
      <c r="C737" s="5" t="s">
        <v>123</v>
      </c>
      <c r="D737" s="19">
        <v>46164</v>
      </c>
      <c r="E737" t="s">
        <v>511</v>
      </c>
      <c r="F737" t="s">
        <v>10</v>
      </c>
      <c r="G737" s="16">
        <v>23</v>
      </c>
      <c r="H737" s="16"/>
    </row>
    <row r="738" spans="2:8" x14ac:dyDescent="0.25">
      <c r="B738">
        <v>731</v>
      </c>
      <c r="C738" s="5" t="s">
        <v>123</v>
      </c>
      <c r="D738" s="19">
        <v>46164</v>
      </c>
      <c r="E738" t="s">
        <v>511</v>
      </c>
      <c r="F738" t="s">
        <v>10</v>
      </c>
      <c r="G738" s="16">
        <v>28</v>
      </c>
      <c r="H738" s="16"/>
    </row>
    <row r="739" spans="2:8" x14ac:dyDescent="0.25">
      <c r="B739">
        <v>732</v>
      </c>
      <c r="C739" s="5" t="s">
        <v>123</v>
      </c>
      <c r="D739" s="19">
        <v>46164</v>
      </c>
      <c r="E739" t="s">
        <v>290</v>
      </c>
      <c r="F739" t="s">
        <v>25</v>
      </c>
      <c r="G739" s="16">
        <v>115</v>
      </c>
      <c r="H739" s="16"/>
    </row>
    <row r="740" spans="2:8" x14ac:dyDescent="0.25">
      <c r="B740">
        <v>733</v>
      </c>
      <c r="C740" s="5" t="s">
        <v>123</v>
      </c>
      <c r="D740" s="19">
        <v>46164</v>
      </c>
      <c r="E740" t="s">
        <v>144</v>
      </c>
      <c r="F740" t="s">
        <v>21</v>
      </c>
      <c r="G740" s="16">
        <v>100</v>
      </c>
      <c r="H740" s="16"/>
    </row>
    <row r="741" spans="2:8" x14ac:dyDescent="0.25">
      <c r="B741">
        <v>734</v>
      </c>
      <c r="C741" s="5" t="s">
        <v>122</v>
      </c>
      <c r="D741" s="19">
        <v>46165</v>
      </c>
      <c r="E741" t="s">
        <v>8</v>
      </c>
      <c r="F741" t="s">
        <v>32</v>
      </c>
      <c r="G741" s="16">
        <v>500</v>
      </c>
      <c r="H741" s="16"/>
    </row>
    <row r="742" spans="2:8" x14ac:dyDescent="0.25">
      <c r="B742">
        <v>735</v>
      </c>
      <c r="C742" s="5" t="s">
        <v>122</v>
      </c>
      <c r="D742" s="19">
        <v>46165</v>
      </c>
      <c r="E742" t="s">
        <v>147</v>
      </c>
      <c r="F742" t="s">
        <v>32</v>
      </c>
      <c r="G742" s="16">
        <v>136</v>
      </c>
      <c r="H742" s="16"/>
    </row>
    <row r="743" spans="2:8" x14ac:dyDescent="0.25">
      <c r="B743">
        <v>736</v>
      </c>
      <c r="C743" s="5" t="s">
        <v>122</v>
      </c>
      <c r="D743" s="19">
        <v>46165</v>
      </c>
      <c r="E743" t="s">
        <v>234</v>
      </c>
      <c r="F743" t="s">
        <v>32</v>
      </c>
      <c r="G743" s="16">
        <v>10</v>
      </c>
      <c r="H743" s="16"/>
    </row>
    <row r="744" spans="2:8" x14ac:dyDescent="0.25">
      <c r="B744">
        <v>737</v>
      </c>
      <c r="C744" s="5" t="s">
        <v>122</v>
      </c>
      <c r="D744" s="19">
        <v>46165</v>
      </c>
      <c r="E744" t="s">
        <v>516</v>
      </c>
      <c r="F744" t="s">
        <v>32</v>
      </c>
      <c r="G744" s="16">
        <v>140</v>
      </c>
      <c r="H744" s="16"/>
    </row>
    <row r="745" spans="2:8" x14ac:dyDescent="0.25">
      <c r="B745">
        <v>738</v>
      </c>
      <c r="C745" s="5" t="s">
        <v>122</v>
      </c>
      <c r="D745" s="19">
        <v>46165</v>
      </c>
      <c r="E745" t="s">
        <v>221</v>
      </c>
      <c r="F745" t="s">
        <v>32</v>
      </c>
      <c r="G745" s="16">
        <v>450</v>
      </c>
      <c r="H745" s="16"/>
    </row>
    <row r="746" spans="2:8" x14ac:dyDescent="0.25">
      <c r="B746">
        <v>739</v>
      </c>
      <c r="C746" s="5" t="s">
        <v>122</v>
      </c>
      <c r="D746" s="19">
        <v>46165</v>
      </c>
      <c r="E746" t="s">
        <v>517</v>
      </c>
      <c r="F746" t="s">
        <v>24</v>
      </c>
      <c r="G746" s="16">
        <v>732</v>
      </c>
      <c r="H746" s="16"/>
    </row>
    <row r="747" spans="2:8" x14ac:dyDescent="0.25">
      <c r="B747">
        <v>740</v>
      </c>
      <c r="C747" s="5" t="s">
        <v>122</v>
      </c>
      <c r="D747" s="19">
        <v>46165</v>
      </c>
      <c r="E747" t="s">
        <v>518</v>
      </c>
      <c r="F747" t="s">
        <v>25</v>
      </c>
      <c r="G747" s="16">
        <v>90</v>
      </c>
      <c r="H747" s="16"/>
    </row>
    <row r="748" spans="2:8" x14ac:dyDescent="0.25">
      <c r="B748">
        <v>741</v>
      </c>
      <c r="C748" s="5" t="s">
        <v>122</v>
      </c>
      <c r="D748" s="19">
        <v>46165</v>
      </c>
      <c r="E748" t="s">
        <v>519</v>
      </c>
      <c r="F748" t="s">
        <v>21</v>
      </c>
      <c r="G748" s="16">
        <v>277</v>
      </c>
      <c r="H748" s="16"/>
    </row>
    <row r="749" spans="2:8" x14ac:dyDescent="0.25">
      <c r="B749">
        <v>742</v>
      </c>
      <c r="C749" s="5" t="s">
        <v>123</v>
      </c>
      <c r="D749" s="19">
        <v>46165</v>
      </c>
      <c r="E749" t="s">
        <v>512</v>
      </c>
      <c r="F749" t="s">
        <v>26</v>
      </c>
      <c r="G749" s="16">
        <v>483</v>
      </c>
      <c r="H749" s="16"/>
    </row>
    <row r="750" spans="2:8" x14ac:dyDescent="0.25">
      <c r="B750">
        <v>743</v>
      </c>
      <c r="C750" s="5" t="s">
        <v>123</v>
      </c>
      <c r="D750" s="19">
        <v>46165</v>
      </c>
      <c r="E750" t="s">
        <v>147</v>
      </c>
      <c r="F750" t="s">
        <v>25</v>
      </c>
      <c r="G750" s="16">
        <v>10</v>
      </c>
      <c r="H750" s="16"/>
    </row>
    <row r="751" spans="2:8" x14ac:dyDescent="0.25">
      <c r="B751">
        <v>744</v>
      </c>
      <c r="C751" s="5" t="s">
        <v>122</v>
      </c>
      <c r="D751" s="19">
        <v>46166</v>
      </c>
      <c r="E751" t="s">
        <v>144</v>
      </c>
      <c r="F751" t="s">
        <v>21</v>
      </c>
      <c r="G751" s="16">
        <v>120</v>
      </c>
      <c r="H751" s="16"/>
    </row>
    <row r="752" spans="2:8" x14ac:dyDescent="0.25">
      <c r="B752">
        <v>745</v>
      </c>
      <c r="C752" s="5" t="s">
        <v>122</v>
      </c>
      <c r="D752" s="19">
        <v>46166</v>
      </c>
      <c r="E752" t="s">
        <v>243</v>
      </c>
      <c r="F752" t="s">
        <v>21</v>
      </c>
      <c r="G752" s="16">
        <v>53</v>
      </c>
      <c r="H752" s="16"/>
    </row>
    <row r="753" spans="2:8" x14ac:dyDescent="0.25">
      <c r="B753">
        <v>746</v>
      </c>
      <c r="C753" s="5" t="s">
        <v>122</v>
      </c>
      <c r="D753" s="19">
        <v>46166</v>
      </c>
      <c r="E753" t="s">
        <v>520</v>
      </c>
      <c r="F753" t="s">
        <v>11</v>
      </c>
      <c r="G753" s="16">
        <v>3700</v>
      </c>
      <c r="H753" s="16"/>
    </row>
    <row r="754" spans="2:8" x14ac:dyDescent="0.25">
      <c r="B754">
        <v>747</v>
      </c>
      <c r="C754" s="5" t="s">
        <v>122</v>
      </c>
      <c r="D754" s="19">
        <v>46167</v>
      </c>
      <c r="E754" t="s">
        <v>243</v>
      </c>
      <c r="F754" t="s">
        <v>21</v>
      </c>
      <c r="G754" s="16">
        <v>210</v>
      </c>
      <c r="H754" s="16"/>
    </row>
    <row r="755" spans="2:8" x14ac:dyDescent="0.25">
      <c r="B755">
        <v>748</v>
      </c>
      <c r="C755" s="5" t="s">
        <v>122</v>
      </c>
      <c r="D755" s="19">
        <v>46167</v>
      </c>
      <c r="E755" t="s">
        <v>243</v>
      </c>
      <c r="F755" t="s">
        <v>21</v>
      </c>
      <c r="G755" s="16">
        <v>40</v>
      </c>
      <c r="H755" s="16"/>
    </row>
    <row r="756" spans="2:8" x14ac:dyDescent="0.25">
      <c r="B756">
        <v>749</v>
      </c>
      <c r="C756" s="5" t="s">
        <v>122</v>
      </c>
      <c r="D756" s="19">
        <v>46168</v>
      </c>
      <c r="E756" t="s">
        <v>536</v>
      </c>
      <c r="F756" t="s">
        <v>6</v>
      </c>
      <c r="G756" s="16">
        <v>181</v>
      </c>
      <c r="H756" s="16"/>
    </row>
    <row r="757" spans="2:8" x14ac:dyDescent="0.25">
      <c r="B757">
        <v>750</v>
      </c>
      <c r="C757" s="5" t="s">
        <v>122</v>
      </c>
      <c r="D757" s="19">
        <v>46168</v>
      </c>
      <c r="E757" t="s">
        <v>536</v>
      </c>
      <c r="F757" t="s">
        <v>6</v>
      </c>
      <c r="G757" s="16">
        <v>174</v>
      </c>
      <c r="H757" s="16"/>
    </row>
    <row r="758" spans="2:8" x14ac:dyDescent="0.25">
      <c r="B758">
        <v>751</v>
      </c>
      <c r="C758" s="5" t="s">
        <v>123</v>
      </c>
      <c r="D758" s="19">
        <v>46170</v>
      </c>
      <c r="E758" t="s">
        <v>513</v>
      </c>
      <c r="F758" t="s">
        <v>6</v>
      </c>
      <c r="G758" s="16">
        <v>96</v>
      </c>
      <c r="H758" s="16"/>
    </row>
    <row r="759" spans="2:8" x14ac:dyDescent="0.25">
      <c r="B759">
        <v>752</v>
      </c>
      <c r="C759" s="5" t="s">
        <v>123</v>
      </c>
      <c r="D759" s="19">
        <v>46170</v>
      </c>
      <c r="E759" t="s">
        <v>514</v>
      </c>
      <c r="F759" t="s">
        <v>25</v>
      </c>
      <c r="G759" s="16">
        <v>892</v>
      </c>
      <c r="H759" s="16"/>
    </row>
    <row r="760" spans="2:8" x14ac:dyDescent="0.25">
      <c r="B760">
        <v>753</v>
      </c>
      <c r="C760" s="5" t="s">
        <v>122</v>
      </c>
      <c r="D760" s="19">
        <v>46171</v>
      </c>
      <c r="E760" t="s">
        <v>522</v>
      </c>
      <c r="F760" t="s">
        <v>10</v>
      </c>
      <c r="G760" s="16">
        <v>509</v>
      </c>
      <c r="H760" s="16"/>
    </row>
    <row r="761" spans="2:8" x14ac:dyDescent="0.25">
      <c r="B761">
        <v>754</v>
      </c>
      <c r="C761" s="5" t="s">
        <v>122</v>
      </c>
      <c r="D761" s="19">
        <v>46174</v>
      </c>
      <c r="E761" t="s">
        <v>521</v>
      </c>
      <c r="F761" t="s">
        <v>10</v>
      </c>
      <c r="G761" s="16">
        <v>592</v>
      </c>
      <c r="H761" s="16"/>
    </row>
    <row r="762" spans="2:8" x14ac:dyDescent="0.25">
      <c r="B762">
        <v>755</v>
      </c>
      <c r="C762" s="5" t="s">
        <v>123</v>
      </c>
      <c r="D762" s="19">
        <v>46174</v>
      </c>
      <c r="E762" t="s">
        <v>496</v>
      </c>
      <c r="F762" t="s">
        <v>86</v>
      </c>
      <c r="G762" s="16"/>
      <c r="H762" s="16">
        <v>48551</v>
      </c>
    </row>
    <row r="763" spans="2:8" x14ac:dyDescent="0.25">
      <c r="B763">
        <v>756</v>
      </c>
      <c r="C763" s="5" t="s">
        <v>123</v>
      </c>
      <c r="D763" s="19">
        <v>46174</v>
      </c>
      <c r="E763" t="s">
        <v>124</v>
      </c>
      <c r="F763" t="s">
        <v>36</v>
      </c>
      <c r="G763" s="16">
        <v>12000</v>
      </c>
      <c r="H763" s="16"/>
    </row>
    <row r="764" spans="2:8" x14ac:dyDescent="0.25">
      <c r="B764">
        <v>757</v>
      </c>
      <c r="C764" s="5" t="s">
        <v>123</v>
      </c>
      <c r="D764" s="19">
        <v>46143</v>
      </c>
      <c r="E764" t="s">
        <v>124</v>
      </c>
      <c r="F764" t="s">
        <v>36</v>
      </c>
      <c r="G764" s="16">
        <v>12000</v>
      </c>
      <c r="H764" s="16"/>
    </row>
    <row r="765" spans="2:8" x14ac:dyDescent="0.25">
      <c r="D765" s="11"/>
      <c r="G765" s="16"/>
      <c r="H765" s="16"/>
    </row>
    <row r="766" spans="2:8" x14ac:dyDescent="0.25">
      <c r="D766" s="11"/>
      <c r="G766" s="16"/>
      <c r="H766" s="16"/>
    </row>
    <row r="767" spans="2:8" x14ac:dyDescent="0.25">
      <c r="D767" s="11"/>
      <c r="G767" s="16"/>
      <c r="H767" s="16"/>
    </row>
    <row r="768" spans="2:8" x14ac:dyDescent="0.25">
      <c r="D768" s="11"/>
      <c r="G768" s="16"/>
      <c r="H768" s="16"/>
    </row>
    <row r="769" spans="4:8" x14ac:dyDescent="0.25">
      <c r="D769" s="11"/>
      <c r="G769" s="16"/>
      <c r="H769" s="16"/>
    </row>
    <row r="770" spans="4:8" x14ac:dyDescent="0.25">
      <c r="D770" s="11"/>
      <c r="G770" s="16"/>
      <c r="H770" s="16"/>
    </row>
    <row r="771" spans="4:8" x14ac:dyDescent="0.25">
      <c r="D771" s="11"/>
      <c r="G771" s="16"/>
      <c r="H771" s="16"/>
    </row>
    <row r="772" spans="4:8" x14ac:dyDescent="0.25">
      <c r="D772" s="11"/>
      <c r="G772" s="16"/>
      <c r="H772" s="16"/>
    </row>
    <row r="773" spans="4:8" x14ac:dyDescent="0.25">
      <c r="D773" s="11"/>
      <c r="G773" s="16"/>
      <c r="H773" s="16"/>
    </row>
    <row r="774" spans="4:8" x14ac:dyDescent="0.25">
      <c r="D774" s="11"/>
      <c r="G774" s="16"/>
      <c r="H774" s="16"/>
    </row>
    <row r="775" spans="4:8" x14ac:dyDescent="0.25">
      <c r="D775" s="11"/>
      <c r="G775" s="16"/>
      <c r="H775" s="16"/>
    </row>
    <row r="776" spans="4:8" x14ac:dyDescent="0.25">
      <c r="D776" s="11"/>
      <c r="G776" s="16"/>
      <c r="H776" s="16"/>
    </row>
    <row r="777" spans="4:8" x14ac:dyDescent="0.25">
      <c r="D777" s="11"/>
      <c r="G777" s="16"/>
      <c r="H777" s="16"/>
    </row>
    <row r="778" spans="4:8" x14ac:dyDescent="0.25">
      <c r="D778" s="11"/>
      <c r="G778" s="16"/>
      <c r="H778" s="16"/>
    </row>
    <row r="779" spans="4:8" x14ac:dyDescent="0.25">
      <c r="D779" s="11"/>
      <c r="G779" s="16"/>
      <c r="H779" s="16"/>
    </row>
  </sheetData>
  <dataValidations count="1">
    <dataValidation type="list" errorStyle="information" allowBlank="1" showInputMessage="1" showErrorMessage="1" sqref="F9:F764">
      <formula1>Sub_Categories</formula1>
    </dataValidation>
  </dataValidations>
  <pageMargins left="0.75" right="0.75" top="1" bottom="1" header="0.5" footer="0.5"/>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34"/>
  <sheetViews>
    <sheetView showGridLines="0" zoomScaleNormal="100" workbookViewId="0">
      <selection activeCell="Q12" sqref="Q12"/>
    </sheetView>
  </sheetViews>
  <sheetFormatPr defaultRowHeight="15" x14ac:dyDescent="0.25"/>
  <cols>
    <col min="1" max="1" width="1.28515625" customWidth="1"/>
    <col min="2" max="2" width="5.140625" customWidth="1"/>
    <col min="3" max="3" width="12.42578125" customWidth="1"/>
    <col min="4" max="4" width="11.7109375" customWidth="1"/>
    <col min="5" max="5" width="21.140625" customWidth="1"/>
    <col min="6" max="6" width="15.5703125" customWidth="1"/>
    <col min="7" max="7" width="22.85546875" bestFit="1" customWidth="1"/>
    <col min="8" max="8" width="26.85546875" bestFit="1" customWidth="1"/>
    <col min="9" max="9" width="24.28515625" customWidth="1"/>
    <col min="10" max="10" width="20.7109375" customWidth="1"/>
  </cols>
  <sheetData>
    <row r="1" spans="2:10" s="1" customFormat="1" x14ac:dyDescent="0.25">
      <c r="D1" s="2"/>
    </row>
    <row r="2" spans="2:10" s="1" customFormat="1" x14ac:dyDescent="0.25">
      <c r="D2" s="2"/>
    </row>
    <row r="3" spans="2:10" s="1" customFormat="1" x14ac:dyDescent="0.25">
      <c r="D3" s="2"/>
    </row>
    <row r="4" spans="2:10" s="1" customFormat="1" x14ac:dyDescent="0.25">
      <c r="D4" s="2"/>
    </row>
    <row r="5" spans="2:10" s="1" customFormat="1" x14ac:dyDescent="0.25">
      <c r="D5" s="2"/>
    </row>
    <row r="6" spans="2:10" s="1" customFormat="1" x14ac:dyDescent="0.25">
      <c r="D6" s="2"/>
    </row>
    <row r="7" spans="2:10" ht="3" customHeight="1" x14ac:dyDescent="0.25">
      <c r="D7" s="3"/>
    </row>
    <row r="8" spans="2:10" ht="18" customHeight="1" x14ac:dyDescent="0.25">
      <c r="B8" s="46" t="s">
        <v>524</v>
      </c>
      <c r="C8" s="46"/>
      <c r="D8" s="46"/>
      <c r="E8" s="46"/>
      <c r="F8" s="46"/>
      <c r="G8" s="46"/>
      <c r="H8" s="46"/>
      <c r="I8" s="46"/>
      <c r="J8" s="46"/>
    </row>
    <row r="9" spans="2:10" ht="18" customHeight="1" x14ac:dyDescent="0.25">
      <c r="B9" s="23" t="s">
        <v>503</v>
      </c>
      <c r="C9" s="23" t="s">
        <v>497</v>
      </c>
      <c r="D9" s="23" t="s">
        <v>65</v>
      </c>
      <c r="E9" s="23" t="s">
        <v>498</v>
      </c>
      <c r="F9" s="23" t="s">
        <v>499</v>
      </c>
      <c r="G9" s="23" t="s">
        <v>500</v>
      </c>
      <c r="H9" s="23" t="s">
        <v>501</v>
      </c>
      <c r="I9" s="23" t="s">
        <v>502</v>
      </c>
      <c r="J9" s="23" t="s">
        <v>70</v>
      </c>
    </row>
    <row r="10" spans="2:10" ht="18" customHeight="1" x14ac:dyDescent="0.25">
      <c r="B10" s="22">
        <v>1</v>
      </c>
      <c r="C10" s="22" t="s">
        <v>122</v>
      </c>
      <c r="D10" s="29">
        <v>46112</v>
      </c>
      <c r="E10" s="24" t="s">
        <v>415</v>
      </c>
      <c r="F10" s="27" t="s">
        <v>409</v>
      </c>
      <c r="G10" s="32">
        <v>3000</v>
      </c>
      <c r="H10" s="33"/>
      <c r="I10" s="34">
        <f>G10-H10</f>
        <v>3000</v>
      </c>
      <c r="J10" s="22"/>
    </row>
    <row r="11" spans="2:10" ht="18" customHeight="1" x14ac:dyDescent="0.25">
      <c r="B11" s="22">
        <v>2</v>
      </c>
      <c r="C11" s="22" t="s">
        <v>123</v>
      </c>
      <c r="D11" s="29">
        <v>46112</v>
      </c>
      <c r="E11" s="30" t="s">
        <v>413</v>
      </c>
      <c r="F11" s="27" t="s">
        <v>409</v>
      </c>
      <c r="G11" s="32">
        <v>8000</v>
      </c>
      <c r="H11" s="33">
        <v>8000</v>
      </c>
      <c r="I11" s="34">
        <f>G11-H11</f>
        <v>0</v>
      </c>
      <c r="J11" s="22"/>
    </row>
    <row r="12" spans="2:10" ht="18" customHeight="1" x14ac:dyDescent="0.25">
      <c r="B12" s="22">
        <v>3</v>
      </c>
      <c r="C12" s="22" t="s">
        <v>122</v>
      </c>
      <c r="D12" s="29">
        <v>46128</v>
      </c>
      <c r="E12" s="30" t="s">
        <v>442</v>
      </c>
      <c r="F12" s="27" t="s">
        <v>409</v>
      </c>
      <c r="G12" s="32">
        <v>50000</v>
      </c>
      <c r="H12" s="33"/>
      <c r="I12" s="34">
        <f>G12-H12</f>
        <v>50000</v>
      </c>
      <c r="J12" s="22"/>
    </row>
    <row r="13" spans="2:10" ht="18" customHeight="1" x14ac:dyDescent="0.25">
      <c r="B13" s="22">
        <v>4</v>
      </c>
      <c r="C13" s="22" t="s">
        <v>123</v>
      </c>
      <c r="D13" s="29">
        <v>46143</v>
      </c>
      <c r="E13" s="30" t="s">
        <v>472</v>
      </c>
      <c r="F13" s="27" t="s">
        <v>409</v>
      </c>
      <c r="G13" s="32">
        <v>30000</v>
      </c>
      <c r="H13" s="33">
        <v>30000</v>
      </c>
      <c r="I13" s="34">
        <f>G13-H13</f>
        <v>0</v>
      </c>
      <c r="J13" s="22"/>
    </row>
    <row r="14" spans="2:10" ht="18" customHeight="1" x14ac:dyDescent="0.25">
      <c r="B14" s="22">
        <v>5</v>
      </c>
      <c r="C14" s="22" t="s">
        <v>122</v>
      </c>
      <c r="D14" s="29">
        <v>46150</v>
      </c>
      <c r="E14" s="30" t="s">
        <v>492</v>
      </c>
      <c r="F14" s="27" t="s">
        <v>409</v>
      </c>
      <c r="G14" s="32">
        <v>5000</v>
      </c>
      <c r="H14" s="33"/>
      <c r="I14" s="34">
        <f>G14-H14</f>
        <v>5000</v>
      </c>
      <c r="J14" s="22"/>
    </row>
    <row r="18" spans="2:10" ht="18" customHeight="1" x14ac:dyDescent="0.25">
      <c r="B18" s="46" t="s">
        <v>523</v>
      </c>
      <c r="C18" s="46"/>
      <c r="D18" s="46"/>
      <c r="E18" s="46"/>
      <c r="F18" s="46"/>
      <c r="G18" s="46"/>
      <c r="H18" s="46"/>
      <c r="I18" s="46"/>
      <c r="J18" s="46"/>
    </row>
    <row r="19" spans="2:10" ht="18" customHeight="1" x14ac:dyDescent="0.25">
      <c r="B19" s="23" t="s">
        <v>503</v>
      </c>
      <c r="C19" s="23" t="s">
        <v>497</v>
      </c>
      <c r="D19" s="23" t="s">
        <v>65</v>
      </c>
      <c r="E19" s="23" t="s">
        <v>498</v>
      </c>
      <c r="F19" s="23" t="s">
        <v>499</v>
      </c>
      <c r="G19" s="23" t="s">
        <v>505</v>
      </c>
      <c r="H19" s="23" t="s">
        <v>506</v>
      </c>
      <c r="I19" s="23" t="s">
        <v>507</v>
      </c>
      <c r="J19" s="23" t="s">
        <v>70</v>
      </c>
    </row>
    <row r="20" spans="2:10" ht="18" customHeight="1" x14ac:dyDescent="0.25">
      <c r="B20" s="25">
        <v>1</v>
      </c>
      <c r="C20" s="25" t="s">
        <v>122</v>
      </c>
      <c r="D20" s="29">
        <v>45809</v>
      </c>
      <c r="E20" s="26" t="s">
        <v>537</v>
      </c>
      <c r="F20" s="27" t="s">
        <v>410</v>
      </c>
      <c r="G20" s="33">
        <v>60000</v>
      </c>
      <c r="H20" s="32">
        <v>60000</v>
      </c>
      <c r="I20" s="34">
        <f>G20-H20</f>
        <v>0</v>
      </c>
      <c r="J20" s="28"/>
    </row>
    <row r="21" spans="2:10" ht="18" customHeight="1" x14ac:dyDescent="0.25">
      <c r="B21" s="25">
        <v>2</v>
      </c>
      <c r="C21" s="25" t="s">
        <v>123</v>
      </c>
      <c r="D21" s="29">
        <v>46162</v>
      </c>
      <c r="E21" s="26" t="s">
        <v>533</v>
      </c>
      <c r="F21" s="27" t="s">
        <v>410</v>
      </c>
      <c r="G21" s="33">
        <v>50000</v>
      </c>
      <c r="H21" s="32">
        <v>0</v>
      </c>
      <c r="I21" s="34">
        <f>G21-H21</f>
        <v>50000</v>
      </c>
      <c r="J21" s="28"/>
    </row>
    <row r="22" spans="2:10" ht="18" customHeight="1" x14ac:dyDescent="0.25">
      <c r="B22" s="25">
        <v>3</v>
      </c>
      <c r="C22" s="25" t="s">
        <v>122</v>
      </c>
      <c r="D22" s="29">
        <v>46082</v>
      </c>
      <c r="E22" s="26" t="s">
        <v>534</v>
      </c>
      <c r="F22" s="27" t="s">
        <v>410</v>
      </c>
      <c r="G22" s="33">
        <v>2000</v>
      </c>
      <c r="H22" s="32">
        <v>0</v>
      </c>
      <c r="I22" s="34">
        <f>G22-H22</f>
        <v>2000</v>
      </c>
      <c r="J22" s="28"/>
    </row>
    <row r="23" spans="2:10" x14ac:dyDescent="0.25">
      <c r="B23" s="25">
        <v>4</v>
      </c>
      <c r="C23" s="25" t="s">
        <v>122</v>
      </c>
      <c r="D23" s="29">
        <v>46166</v>
      </c>
      <c r="E23" s="26" t="s">
        <v>535</v>
      </c>
      <c r="F23" s="27" t="s">
        <v>410</v>
      </c>
      <c r="G23" s="33">
        <v>3000</v>
      </c>
      <c r="H23" s="32">
        <v>0</v>
      </c>
      <c r="I23" s="34">
        <f>G23-H23</f>
        <v>3000</v>
      </c>
      <c r="J23" s="28"/>
    </row>
    <row r="24" spans="2:10" ht="18" customHeight="1" x14ac:dyDescent="0.25"/>
    <row r="25" spans="2:10" ht="18" customHeight="1" x14ac:dyDescent="0.25">
      <c r="B25" s="47" t="s">
        <v>525</v>
      </c>
      <c r="C25" s="47"/>
      <c r="D25" s="47"/>
      <c r="E25" s="47"/>
      <c r="F25" s="47"/>
      <c r="G25" s="47"/>
      <c r="H25" s="47"/>
      <c r="I25" s="47"/>
      <c r="J25" s="47"/>
    </row>
    <row r="26" spans="2:10" ht="18" customHeight="1" x14ac:dyDescent="0.25">
      <c r="B26" s="41" t="s">
        <v>532</v>
      </c>
      <c r="C26" s="41"/>
      <c r="D26" s="41"/>
      <c r="E26" s="41"/>
      <c r="F26" s="41"/>
      <c r="G26" s="41"/>
      <c r="H26" s="48">
        <f>SUM(Lends[Amount Lent (₹)])</f>
        <v>96000</v>
      </c>
      <c r="I26" s="48"/>
      <c r="J26" s="48"/>
    </row>
    <row r="27" spans="2:10" ht="18" customHeight="1" x14ac:dyDescent="0.25">
      <c r="B27" s="41" t="s">
        <v>531</v>
      </c>
      <c r="C27" s="41"/>
      <c r="D27" s="41"/>
      <c r="E27" s="41"/>
      <c r="F27" s="41"/>
      <c r="G27" s="41"/>
      <c r="H27" s="42">
        <f>SUM(Lends[Amount Received Back (₹)])</f>
        <v>38000</v>
      </c>
      <c r="I27" s="42"/>
      <c r="J27" s="42"/>
    </row>
    <row r="28" spans="2:10" ht="18" customHeight="1" x14ac:dyDescent="0.25">
      <c r="B28" s="43" t="s">
        <v>526</v>
      </c>
      <c r="C28" s="43"/>
      <c r="D28" s="43"/>
      <c r="E28" s="43"/>
      <c r="F28" s="43"/>
      <c r="G28" s="43"/>
      <c r="H28" s="44">
        <f>H26-H27</f>
        <v>58000</v>
      </c>
      <c r="I28" s="44"/>
      <c r="J28" s="44"/>
    </row>
    <row r="29" spans="2:10" ht="5.0999999999999996" customHeight="1" x14ac:dyDescent="0.25">
      <c r="B29" s="31"/>
      <c r="C29" s="31"/>
      <c r="D29" s="31"/>
      <c r="E29" s="31"/>
      <c r="F29" s="31"/>
      <c r="G29" s="31"/>
      <c r="H29" s="31"/>
      <c r="I29" s="31"/>
      <c r="J29" s="31"/>
    </row>
    <row r="30" spans="2:10" ht="18" customHeight="1" x14ac:dyDescent="0.25">
      <c r="B30" s="35" t="s">
        <v>529</v>
      </c>
      <c r="C30" s="35"/>
      <c r="D30" s="35"/>
      <c r="E30" s="35"/>
      <c r="F30" s="35"/>
      <c r="G30" s="35"/>
      <c r="H30" s="45">
        <f>SUM(Borrows[Amount Borrowed (₹)])</f>
        <v>115000</v>
      </c>
      <c r="I30" s="45"/>
      <c r="J30" s="45"/>
    </row>
    <row r="31" spans="2:10" ht="18" customHeight="1" x14ac:dyDescent="0.25">
      <c r="B31" s="35" t="s">
        <v>528</v>
      </c>
      <c r="C31" s="35"/>
      <c r="D31" s="35"/>
      <c r="E31" s="35"/>
      <c r="F31" s="35"/>
      <c r="G31" s="35"/>
      <c r="H31" s="36">
        <f>SUM(Borrows[Amount Repaid (₹)])</f>
        <v>60000</v>
      </c>
      <c r="I31" s="36"/>
      <c r="J31" s="36"/>
    </row>
    <row r="32" spans="2:10" ht="18" customHeight="1" x14ac:dyDescent="0.25">
      <c r="B32" s="37" t="s">
        <v>530</v>
      </c>
      <c r="C32" s="37"/>
      <c r="D32" s="37"/>
      <c r="E32" s="37"/>
      <c r="F32" s="37"/>
      <c r="G32" s="37"/>
      <c r="H32" s="38">
        <f>H30-H31</f>
        <v>55000</v>
      </c>
      <c r="I32" s="38"/>
      <c r="J32" s="38"/>
    </row>
    <row r="33" spans="2:10" ht="5.0999999999999996" customHeight="1" x14ac:dyDescent="0.25">
      <c r="B33" s="31"/>
      <c r="C33" s="31"/>
      <c r="D33" s="31"/>
      <c r="E33" s="31"/>
      <c r="F33" s="31"/>
      <c r="G33" s="31"/>
      <c r="H33" s="31"/>
      <c r="I33" s="31"/>
      <c r="J33" s="31"/>
    </row>
    <row r="34" spans="2:10" ht="15.75" x14ac:dyDescent="0.25">
      <c r="B34" s="39" t="s">
        <v>527</v>
      </c>
      <c r="C34" s="39"/>
      <c r="D34" s="39"/>
      <c r="E34" s="39"/>
      <c r="F34" s="39"/>
      <c r="G34" s="39"/>
      <c r="H34" s="40">
        <f>H28-H32</f>
        <v>3000</v>
      </c>
      <c r="I34" s="40"/>
      <c r="J34" s="40"/>
    </row>
  </sheetData>
  <mergeCells count="17">
    <mergeCell ref="B18:J18"/>
    <mergeCell ref="B8:J8"/>
    <mergeCell ref="B25:J25"/>
    <mergeCell ref="B26:G26"/>
    <mergeCell ref="H26:J26"/>
    <mergeCell ref="B27:G27"/>
    <mergeCell ref="H27:J27"/>
    <mergeCell ref="B28:G28"/>
    <mergeCell ref="H28:J28"/>
    <mergeCell ref="B30:G30"/>
    <mergeCell ref="H30:J30"/>
    <mergeCell ref="B31:G31"/>
    <mergeCell ref="H31:J31"/>
    <mergeCell ref="B32:G32"/>
    <mergeCell ref="H32:J32"/>
    <mergeCell ref="B34:G34"/>
    <mergeCell ref="H34:J34"/>
  </mergeCells>
  <pageMargins left="0.7" right="0.7" top="0.75" bottom="0.75" header="0.3" footer="0.3"/>
  <pageSetup orientation="portrait" r:id="rId1"/>
  <drawing r:id="rId2"/>
  <tableParts count="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C3:O4"/>
  <sheetViews>
    <sheetView workbookViewId="0">
      <selection activeCell="D30" sqref="D30"/>
    </sheetView>
  </sheetViews>
  <sheetFormatPr defaultRowHeight="15" x14ac:dyDescent="0.25"/>
  <cols>
    <col min="3" max="3" width="9.7109375" bestFit="1" customWidth="1"/>
  </cols>
  <sheetData>
    <row r="3" spans="3:15" x14ac:dyDescent="0.25">
      <c r="C3" t="s">
        <v>71</v>
      </c>
      <c r="D3" t="s">
        <v>50</v>
      </c>
      <c r="E3" t="s">
        <v>51</v>
      </c>
      <c r="F3" t="s">
        <v>52</v>
      </c>
      <c r="G3" t="s">
        <v>53</v>
      </c>
      <c r="H3" t="s">
        <v>54</v>
      </c>
      <c r="I3" t="s">
        <v>55</v>
      </c>
      <c r="J3" t="s">
        <v>56</v>
      </c>
      <c r="K3" t="s">
        <v>57</v>
      </c>
      <c r="L3" t="s">
        <v>58</v>
      </c>
      <c r="M3" t="s">
        <v>59</v>
      </c>
      <c r="N3" t="s">
        <v>60</v>
      </c>
      <c r="O3" t="s">
        <v>61</v>
      </c>
    </row>
    <row r="4" spans="3:15" x14ac:dyDescent="0.25">
      <c r="C4" t="s">
        <v>72</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1:O945"/>
  <sheetViews>
    <sheetView showGridLines="0" zoomScale="120" zoomScaleNormal="120" workbookViewId="0">
      <pane xSplit="1" ySplit="8" topLeftCell="B741" activePane="bottomRight" state="frozen"/>
      <selection pane="topRight" activeCell="B1" sqref="B1"/>
      <selection pane="bottomLeft" activeCell="A9" sqref="A9"/>
      <selection pane="bottomRight" activeCell="B8" sqref="B8:N945"/>
    </sheetView>
  </sheetViews>
  <sheetFormatPr defaultRowHeight="15" x14ac:dyDescent="0.25"/>
  <cols>
    <col min="1" max="1" width="1.28515625" customWidth="1"/>
    <col min="2" max="2" width="9" bestFit="1" customWidth="1"/>
    <col min="3" max="3" width="14.5703125" customWidth="1"/>
    <col min="4" max="4" width="11.140625" customWidth="1"/>
    <col min="5" max="5" width="31.28515625" customWidth="1"/>
    <col min="6" max="6" width="20.28515625" customWidth="1"/>
    <col min="7" max="7" width="9.7109375" customWidth="1"/>
    <col min="8" max="8" width="8.7109375" bestFit="1" customWidth="1"/>
    <col min="9" max="9" width="10.42578125" customWidth="1"/>
    <col min="10" max="10" width="9.5703125" customWidth="1"/>
    <col min="11" max="11" width="19.85546875" customWidth="1"/>
    <col min="12" max="12" width="16.140625" customWidth="1"/>
    <col min="13" max="13" width="7.28515625" customWidth="1"/>
    <col min="14" max="14" width="9.28515625" customWidth="1"/>
    <col min="15" max="15" width="10.7109375" bestFit="1" customWidth="1"/>
  </cols>
  <sheetData>
    <row r="1" spans="2:15" s="1" customFormat="1" x14ac:dyDescent="0.25">
      <c r="D1" s="2"/>
    </row>
    <row r="2" spans="2:15" s="1" customFormat="1" x14ac:dyDescent="0.25">
      <c r="D2" s="2"/>
    </row>
    <row r="3" spans="2:15" s="1" customFormat="1" x14ac:dyDescent="0.25">
      <c r="D3" s="2"/>
    </row>
    <row r="4" spans="2:15" s="1" customFormat="1" x14ac:dyDescent="0.25">
      <c r="D4" s="2"/>
    </row>
    <row r="5" spans="2:15" s="1" customFormat="1" x14ac:dyDescent="0.25">
      <c r="D5" s="2"/>
    </row>
    <row r="6" spans="2:15" s="1" customFormat="1" x14ac:dyDescent="0.25">
      <c r="D6" s="2"/>
    </row>
    <row r="7" spans="2:15" ht="4.5" customHeight="1" x14ac:dyDescent="0.25"/>
    <row r="8" spans="2:15" x14ac:dyDescent="0.25">
      <c r="B8" s="8" t="s">
        <v>47</v>
      </c>
      <c r="C8" s="8" t="s">
        <v>87</v>
      </c>
      <c r="D8" s="8" t="s">
        <v>65</v>
      </c>
      <c r="E8" s="8" t="s">
        <v>48</v>
      </c>
      <c r="F8" s="8" t="s">
        <v>0</v>
      </c>
      <c r="G8" s="8" t="s">
        <v>63</v>
      </c>
      <c r="H8" s="8" t="s">
        <v>62</v>
      </c>
      <c r="I8" s="8" t="s">
        <v>64</v>
      </c>
      <c r="J8" s="8" t="s">
        <v>66</v>
      </c>
      <c r="K8" s="8" t="s">
        <v>1</v>
      </c>
      <c r="L8" s="8" t="s">
        <v>2</v>
      </c>
      <c r="M8" s="8" t="s">
        <v>49</v>
      </c>
      <c r="N8" s="8" t="s">
        <v>67</v>
      </c>
      <c r="O8" s="8"/>
    </row>
    <row r="9" spans="2:15" x14ac:dyDescent="0.25">
      <c r="B9" s="8">
        <v>1</v>
      </c>
      <c r="C9" s="8" t="s">
        <v>122</v>
      </c>
      <c r="D9" s="10">
        <v>45962</v>
      </c>
      <c r="E9" s="8" t="s">
        <v>88</v>
      </c>
      <c r="F9" s="8" t="s">
        <v>11</v>
      </c>
      <c r="G9" s="8">
        <v>5100</v>
      </c>
      <c r="H9" s="8">
        <v>0</v>
      </c>
      <c r="I9" s="8">
        <v>-5100</v>
      </c>
      <c r="J9" s="8">
        <v>0</v>
      </c>
      <c r="K9" s="8" t="s">
        <v>9</v>
      </c>
      <c r="L9" s="8" t="s">
        <v>5</v>
      </c>
      <c r="M9" s="8">
        <v>2025</v>
      </c>
      <c r="N9" s="8">
        <v>11</v>
      </c>
      <c r="O9" s="8"/>
    </row>
    <row r="10" spans="2:15" x14ac:dyDescent="0.25">
      <c r="B10" s="8">
        <v>35</v>
      </c>
      <c r="C10" s="8" t="s">
        <v>122</v>
      </c>
      <c r="D10" s="10">
        <v>45967</v>
      </c>
      <c r="E10" s="8" t="s">
        <v>107</v>
      </c>
      <c r="F10" s="8" t="s">
        <v>11</v>
      </c>
      <c r="G10" s="8">
        <v>2700</v>
      </c>
      <c r="H10" s="8">
        <v>0</v>
      </c>
      <c r="I10" s="8">
        <v>-2700</v>
      </c>
      <c r="J10" s="8">
        <v>0</v>
      </c>
      <c r="K10" s="8" t="s">
        <v>9</v>
      </c>
      <c r="L10" s="8" t="s">
        <v>5</v>
      </c>
      <c r="M10" s="8">
        <v>2025</v>
      </c>
      <c r="N10" s="8">
        <v>11</v>
      </c>
      <c r="O10" s="8"/>
    </row>
    <row r="11" spans="2:15" x14ac:dyDescent="0.25">
      <c r="B11" s="8">
        <v>2</v>
      </c>
      <c r="C11" s="8" t="s">
        <v>122</v>
      </c>
      <c r="D11" s="10">
        <v>45962</v>
      </c>
      <c r="E11" s="8" t="s">
        <v>89</v>
      </c>
      <c r="F11" s="8" t="s">
        <v>21</v>
      </c>
      <c r="G11" s="8">
        <v>30</v>
      </c>
      <c r="H11" s="8">
        <v>0</v>
      </c>
      <c r="I11" s="8">
        <v>-30</v>
      </c>
      <c r="J11" s="8">
        <v>0</v>
      </c>
      <c r="K11" s="8" t="s">
        <v>22</v>
      </c>
      <c r="L11" s="8" t="s">
        <v>5</v>
      </c>
      <c r="M11" s="8">
        <v>2025</v>
      </c>
      <c r="N11" s="8">
        <v>11</v>
      </c>
      <c r="O11" s="8"/>
    </row>
    <row r="12" spans="2:15" x14ac:dyDescent="0.25">
      <c r="B12" s="8">
        <v>5</v>
      </c>
      <c r="C12" s="8" t="s">
        <v>122</v>
      </c>
      <c r="D12" s="10">
        <v>45962</v>
      </c>
      <c r="E12" s="8" t="s">
        <v>148</v>
      </c>
      <c r="F12" s="8" t="s">
        <v>21</v>
      </c>
      <c r="G12" s="8">
        <v>27</v>
      </c>
      <c r="H12" s="8">
        <v>0</v>
      </c>
      <c r="I12" s="8">
        <v>-27</v>
      </c>
      <c r="J12" s="8">
        <v>0</v>
      </c>
      <c r="K12" s="8" t="s">
        <v>22</v>
      </c>
      <c r="L12" s="8" t="s">
        <v>5</v>
      </c>
      <c r="M12" s="8">
        <v>2025</v>
      </c>
      <c r="N12" s="8">
        <v>11</v>
      </c>
      <c r="O12" s="8"/>
    </row>
    <row r="13" spans="2:15" x14ac:dyDescent="0.25">
      <c r="B13" s="8">
        <v>17</v>
      </c>
      <c r="C13" s="8" t="s">
        <v>122</v>
      </c>
      <c r="D13" s="10">
        <v>45963</v>
      </c>
      <c r="E13" s="8" t="s">
        <v>94</v>
      </c>
      <c r="F13" s="8" t="s">
        <v>21</v>
      </c>
      <c r="G13" s="8">
        <v>250</v>
      </c>
      <c r="H13" s="8">
        <v>0</v>
      </c>
      <c r="I13" s="8">
        <v>-250</v>
      </c>
      <c r="J13" s="8">
        <v>0</v>
      </c>
      <c r="K13" s="8" t="s">
        <v>22</v>
      </c>
      <c r="L13" s="8" t="s">
        <v>5</v>
      </c>
      <c r="M13" s="8">
        <v>2025</v>
      </c>
      <c r="N13" s="8">
        <v>11</v>
      </c>
      <c r="O13" s="8"/>
    </row>
    <row r="14" spans="2:15" x14ac:dyDescent="0.25">
      <c r="B14" s="8">
        <v>18</v>
      </c>
      <c r="C14" s="8" t="s">
        <v>122</v>
      </c>
      <c r="D14" s="10">
        <v>45963</v>
      </c>
      <c r="E14" s="8" t="s">
        <v>95</v>
      </c>
      <c r="F14" s="8" t="s">
        <v>21</v>
      </c>
      <c r="G14" s="8">
        <v>158</v>
      </c>
      <c r="H14" s="8">
        <v>0</v>
      </c>
      <c r="I14" s="8">
        <v>-158</v>
      </c>
      <c r="J14" s="8">
        <v>0</v>
      </c>
      <c r="K14" s="8" t="s">
        <v>22</v>
      </c>
      <c r="L14" s="8" t="s">
        <v>5</v>
      </c>
      <c r="M14" s="8">
        <v>2025</v>
      </c>
      <c r="N14" s="8">
        <v>11</v>
      </c>
      <c r="O14" s="8"/>
    </row>
    <row r="15" spans="2:15" x14ac:dyDescent="0.25">
      <c r="B15" s="8">
        <v>19</v>
      </c>
      <c r="C15" s="8" t="s">
        <v>122</v>
      </c>
      <c r="D15" s="10">
        <v>45963</v>
      </c>
      <c r="E15" s="8" t="s">
        <v>96</v>
      </c>
      <c r="F15" s="8" t="s">
        <v>21</v>
      </c>
      <c r="G15" s="8">
        <v>140</v>
      </c>
      <c r="H15" s="8">
        <v>0</v>
      </c>
      <c r="I15" s="8">
        <v>-140</v>
      </c>
      <c r="J15" s="8">
        <v>0</v>
      </c>
      <c r="K15" s="8" t="s">
        <v>22</v>
      </c>
      <c r="L15" s="8" t="s">
        <v>5</v>
      </c>
      <c r="M15" s="8">
        <v>2025</v>
      </c>
      <c r="N15" s="8">
        <v>11</v>
      </c>
      <c r="O15" s="8"/>
    </row>
    <row r="16" spans="2:15" x14ac:dyDescent="0.25">
      <c r="B16" s="8">
        <v>21</v>
      </c>
      <c r="C16" s="8" t="s">
        <v>122</v>
      </c>
      <c r="D16" s="10">
        <v>45963</v>
      </c>
      <c r="E16" s="8" t="s">
        <v>148</v>
      </c>
      <c r="F16" s="8" t="s">
        <v>21</v>
      </c>
      <c r="G16" s="8">
        <v>53</v>
      </c>
      <c r="H16" s="8">
        <v>0</v>
      </c>
      <c r="I16" s="8">
        <v>-53</v>
      </c>
      <c r="J16" s="8">
        <v>0</v>
      </c>
      <c r="K16" s="8" t="s">
        <v>22</v>
      </c>
      <c r="L16" s="8" t="s">
        <v>5</v>
      </c>
      <c r="M16" s="8">
        <v>2025</v>
      </c>
      <c r="N16" s="8">
        <v>11</v>
      </c>
      <c r="O16" s="8"/>
    </row>
    <row r="17" spans="2:15" x14ac:dyDescent="0.25">
      <c r="B17" s="8">
        <v>25</v>
      </c>
      <c r="C17" s="8" t="s">
        <v>122</v>
      </c>
      <c r="D17" s="10">
        <v>45964</v>
      </c>
      <c r="E17" s="8" t="s">
        <v>148</v>
      </c>
      <c r="F17" s="8" t="s">
        <v>21</v>
      </c>
      <c r="G17" s="8">
        <v>110</v>
      </c>
      <c r="H17" s="8">
        <v>0</v>
      </c>
      <c r="I17" s="8">
        <v>-110</v>
      </c>
      <c r="J17" s="8">
        <v>0</v>
      </c>
      <c r="K17" s="8" t="s">
        <v>22</v>
      </c>
      <c r="L17" s="8" t="s">
        <v>5</v>
      </c>
      <c r="M17" s="8">
        <v>2025</v>
      </c>
      <c r="N17" s="8">
        <v>11</v>
      </c>
      <c r="O17" s="8"/>
    </row>
    <row r="18" spans="2:15" x14ac:dyDescent="0.25">
      <c r="B18" s="8">
        <v>26</v>
      </c>
      <c r="C18" s="8" t="s">
        <v>122</v>
      </c>
      <c r="D18" s="10">
        <v>45964</v>
      </c>
      <c r="E18" s="8" t="s">
        <v>101</v>
      </c>
      <c r="F18" s="8" t="s">
        <v>21</v>
      </c>
      <c r="G18" s="8">
        <v>45</v>
      </c>
      <c r="H18" s="8">
        <v>0</v>
      </c>
      <c r="I18" s="8">
        <v>-45</v>
      </c>
      <c r="J18" s="8">
        <v>0</v>
      </c>
      <c r="K18" s="8" t="s">
        <v>22</v>
      </c>
      <c r="L18" s="8" t="s">
        <v>5</v>
      </c>
      <c r="M18" s="8">
        <v>2025</v>
      </c>
      <c r="N18" s="8">
        <v>11</v>
      </c>
      <c r="O18" s="8"/>
    </row>
    <row r="19" spans="2:15" x14ac:dyDescent="0.25">
      <c r="B19" s="8">
        <v>32</v>
      </c>
      <c r="C19" s="8" t="s">
        <v>122</v>
      </c>
      <c r="D19" s="10">
        <v>45966</v>
      </c>
      <c r="E19" s="8" t="s">
        <v>104</v>
      </c>
      <c r="F19" s="8" t="s">
        <v>21</v>
      </c>
      <c r="G19" s="8">
        <v>140</v>
      </c>
      <c r="H19" s="8">
        <v>0</v>
      </c>
      <c r="I19" s="8">
        <v>-140</v>
      </c>
      <c r="J19" s="8">
        <v>0</v>
      </c>
      <c r="K19" s="8" t="s">
        <v>22</v>
      </c>
      <c r="L19" s="8" t="s">
        <v>5</v>
      </c>
      <c r="M19" s="8">
        <v>2025</v>
      </c>
      <c r="N19" s="8">
        <v>11</v>
      </c>
      <c r="O19" s="8"/>
    </row>
    <row r="20" spans="2:15" x14ac:dyDescent="0.25">
      <c r="B20" s="8">
        <v>33</v>
      </c>
      <c r="C20" s="8" t="s">
        <v>122</v>
      </c>
      <c r="D20" s="10">
        <v>45966</v>
      </c>
      <c r="E20" s="8" t="s">
        <v>105</v>
      </c>
      <c r="F20" s="8" t="s">
        <v>21</v>
      </c>
      <c r="G20" s="8">
        <v>62</v>
      </c>
      <c r="H20" s="8">
        <v>0</v>
      </c>
      <c r="I20" s="8">
        <v>-62</v>
      </c>
      <c r="J20" s="8">
        <v>0</v>
      </c>
      <c r="K20" s="8" t="s">
        <v>22</v>
      </c>
      <c r="L20" s="8" t="s">
        <v>5</v>
      </c>
      <c r="M20" s="8">
        <v>2025</v>
      </c>
      <c r="N20" s="8">
        <v>11</v>
      </c>
      <c r="O20" s="8"/>
    </row>
    <row r="21" spans="2:15" x14ac:dyDescent="0.25">
      <c r="B21" s="8">
        <v>3</v>
      </c>
      <c r="C21" s="8" t="s">
        <v>122</v>
      </c>
      <c r="D21" s="10">
        <v>45962</v>
      </c>
      <c r="E21" s="8" t="s">
        <v>90</v>
      </c>
      <c r="F21" s="8" t="s">
        <v>25</v>
      </c>
      <c r="G21" s="8">
        <v>50</v>
      </c>
      <c r="H21" s="8">
        <v>0</v>
      </c>
      <c r="I21" s="8">
        <v>-50</v>
      </c>
      <c r="J21" s="8">
        <v>0</v>
      </c>
      <c r="K21" s="8" t="s">
        <v>22</v>
      </c>
      <c r="L21" s="8" t="s">
        <v>5</v>
      </c>
      <c r="M21" s="8">
        <v>2025</v>
      </c>
      <c r="N21" s="8">
        <v>11</v>
      </c>
      <c r="O21" s="8"/>
    </row>
    <row r="22" spans="2:15" x14ac:dyDescent="0.25">
      <c r="B22" s="8">
        <v>4</v>
      </c>
      <c r="C22" s="8" t="s">
        <v>122</v>
      </c>
      <c r="D22" s="10">
        <v>45962</v>
      </c>
      <c r="E22" s="8" t="s">
        <v>90</v>
      </c>
      <c r="F22" s="8" t="s">
        <v>25</v>
      </c>
      <c r="G22" s="8">
        <v>40</v>
      </c>
      <c r="H22" s="8">
        <v>0</v>
      </c>
      <c r="I22" s="8">
        <v>-40</v>
      </c>
      <c r="J22" s="8">
        <v>0</v>
      </c>
      <c r="K22" s="8" t="s">
        <v>22</v>
      </c>
      <c r="L22" s="8" t="s">
        <v>5</v>
      </c>
      <c r="M22" s="8">
        <v>2025</v>
      </c>
      <c r="N22" s="8">
        <v>11</v>
      </c>
      <c r="O22" s="8"/>
    </row>
    <row r="23" spans="2:15" x14ac:dyDescent="0.25">
      <c r="B23" s="8">
        <v>28</v>
      </c>
      <c r="C23" s="8" t="s">
        <v>122</v>
      </c>
      <c r="D23" s="10">
        <v>45965</v>
      </c>
      <c r="E23" s="8" t="s">
        <v>102</v>
      </c>
      <c r="F23" s="8" t="s">
        <v>8</v>
      </c>
      <c r="G23" s="8">
        <v>200</v>
      </c>
      <c r="H23" s="8">
        <v>0</v>
      </c>
      <c r="I23" s="8">
        <v>-200</v>
      </c>
      <c r="J23" s="8">
        <v>0</v>
      </c>
      <c r="K23" s="8" t="s">
        <v>9</v>
      </c>
      <c r="L23" s="8" t="s">
        <v>5</v>
      </c>
      <c r="M23" s="8">
        <v>2025</v>
      </c>
      <c r="N23" s="8">
        <v>11</v>
      </c>
      <c r="O23" s="8"/>
    </row>
    <row r="24" spans="2:15" x14ac:dyDescent="0.25">
      <c r="B24" s="8">
        <v>40</v>
      </c>
      <c r="C24" s="8" t="s">
        <v>122</v>
      </c>
      <c r="D24" s="10">
        <v>45969</v>
      </c>
      <c r="E24" s="8" t="s">
        <v>112</v>
      </c>
      <c r="F24" s="8" t="s">
        <v>8</v>
      </c>
      <c r="G24" s="8">
        <v>500</v>
      </c>
      <c r="H24" s="8">
        <v>0</v>
      </c>
      <c r="I24" s="8">
        <v>-500</v>
      </c>
      <c r="J24" s="8">
        <v>0</v>
      </c>
      <c r="K24" s="8" t="s">
        <v>9</v>
      </c>
      <c r="L24" s="8" t="s">
        <v>5</v>
      </c>
      <c r="M24" s="8">
        <v>2025</v>
      </c>
      <c r="N24" s="8">
        <v>11</v>
      </c>
      <c r="O24" s="8"/>
    </row>
    <row r="25" spans="2:15" x14ac:dyDescent="0.25">
      <c r="B25" s="8">
        <v>6</v>
      </c>
      <c r="C25" s="8" t="s">
        <v>122</v>
      </c>
      <c r="D25" s="10">
        <v>45962</v>
      </c>
      <c r="E25" s="8" t="s">
        <v>91</v>
      </c>
      <c r="F25" s="8" t="s">
        <v>40</v>
      </c>
      <c r="G25" s="8">
        <v>0</v>
      </c>
      <c r="H25" s="8">
        <v>106</v>
      </c>
      <c r="I25" s="8">
        <v>106</v>
      </c>
      <c r="J25" s="8">
        <v>0</v>
      </c>
      <c r="K25" s="8" t="s">
        <v>41</v>
      </c>
      <c r="L25" s="8" t="s">
        <v>5</v>
      </c>
      <c r="M25" s="8">
        <v>2025</v>
      </c>
      <c r="N25" s="8">
        <v>11</v>
      </c>
      <c r="O25" s="8"/>
    </row>
    <row r="26" spans="2:15" x14ac:dyDescent="0.25">
      <c r="B26" s="8">
        <v>20</v>
      </c>
      <c r="C26" s="8" t="s">
        <v>122</v>
      </c>
      <c r="D26" s="10">
        <v>45963</v>
      </c>
      <c r="E26" s="8" t="s">
        <v>97</v>
      </c>
      <c r="F26" s="8" t="s">
        <v>40</v>
      </c>
      <c r="G26" s="8">
        <v>100</v>
      </c>
      <c r="H26" s="8">
        <v>0</v>
      </c>
      <c r="I26" s="8">
        <v>-100</v>
      </c>
      <c r="J26" s="8">
        <v>0</v>
      </c>
      <c r="K26" s="8" t="s">
        <v>41</v>
      </c>
      <c r="L26" s="8" t="s">
        <v>5</v>
      </c>
      <c r="M26" s="8">
        <v>2025</v>
      </c>
      <c r="N26" s="8">
        <v>11</v>
      </c>
      <c r="O26" s="8"/>
    </row>
    <row r="27" spans="2:15" x14ac:dyDescent="0.25">
      <c r="B27" s="8">
        <v>22</v>
      </c>
      <c r="C27" s="8" t="s">
        <v>122</v>
      </c>
      <c r="D27" s="10">
        <v>45963</v>
      </c>
      <c r="E27" s="8" t="s">
        <v>98</v>
      </c>
      <c r="F27" s="8" t="s">
        <v>40</v>
      </c>
      <c r="G27" s="8">
        <v>0</v>
      </c>
      <c r="H27" s="8">
        <v>100</v>
      </c>
      <c r="I27" s="8">
        <v>100</v>
      </c>
      <c r="J27" s="8">
        <v>0</v>
      </c>
      <c r="K27" s="8" t="s">
        <v>41</v>
      </c>
      <c r="L27" s="8" t="s">
        <v>5</v>
      </c>
      <c r="M27" s="8">
        <v>2025</v>
      </c>
      <c r="N27" s="8">
        <v>11</v>
      </c>
      <c r="O27" s="8"/>
    </row>
    <row r="28" spans="2:15" x14ac:dyDescent="0.25">
      <c r="B28" s="8">
        <v>23</v>
      </c>
      <c r="C28" s="8" t="s">
        <v>122</v>
      </c>
      <c r="D28" s="10">
        <v>45963</v>
      </c>
      <c r="E28" s="8" t="s">
        <v>99</v>
      </c>
      <c r="F28" s="8" t="s">
        <v>40</v>
      </c>
      <c r="G28" s="8">
        <v>0</v>
      </c>
      <c r="H28" s="8">
        <v>106</v>
      </c>
      <c r="I28" s="8">
        <v>106</v>
      </c>
      <c r="J28" s="8">
        <v>0</v>
      </c>
      <c r="K28" s="8" t="s">
        <v>41</v>
      </c>
      <c r="L28" s="8" t="s">
        <v>5</v>
      </c>
      <c r="M28" s="8">
        <v>2025</v>
      </c>
      <c r="N28" s="8">
        <v>11</v>
      </c>
      <c r="O28" s="8"/>
    </row>
    <row r="29" spans="2:15" x14ac:dyDescent="0.25">
      <c r="B29" s="8">
        <v>29</v>
      </c>
      <c r="C29" s="8" t="s">
        <v>122</v>
      </c>
      <c r="D29" s="10">
        <v>45965</v>
      </c>
      <c r="E29" s="8" t="s">
        <v>100</v>
      </c>
      <c r="F29" s="8" t="s">
        <v>40</v>
      </c>
      <c r="G29" s="8">
        <v>200</v>
      </c>
      <c r="H29" s="8">
        <v>0</v>
      </c>
      <c r="I29" s="8">
        <v>-200</v>
      </c>
      <c r="J29" s="8">
        <v>0</v>
      </c>
      <c r="K29" s="8" t="s">
        <v>41</v>
      </c>
      <c r="L29" s="8" t="s">
        <v>5</v>
      </c>
      <c r="M29" s="8">
        <v>2025</v>
      </c>
      <c r="N29" s="8">
        <v>11</v>
      </c>
      <c r="O29" s="8"/>
    </row>
    <row r="30" spans="2:15" x14ac:dyDescent="0.25">
      <c r="B30" s="8">
        <v>31</v>
      </c>
      <c r="C30" s="8" t="s">
        <v>122</v>
      </c>
      <c r="D30" s="10">
        <v>45966</v>
      </c>
      <c r="E30" s="8" t="s">
        <v>103</v>
      </c>
      <c r="F30" s="8" t="s">
        <v>10</v>
      </c>
      <c r="G30" s="8">
        <v>70</v>
      </c>
      <c r="H30" s="8">
        <v>0</v>
      </c>
      <c r="I30" s="8">
        <v>-70</v>
      </c>
      <c r="J30" s="8">
        <v>0</v>
      </c>
      <c r="K30" s="8" t="s">
        <v>9</v>
      </c>
      <c r="L30" s="8" t="s">
        <v>5</v>
      </c>
      <c r="M30" s="8">
        <v>2025</v>
      </c>
      <c r="N30" s="8">
        <v>11</v>
      </c>
      <c r="O30" s="8"/>
    </row>
    <row r="31" spans="2:15" x14ac:dyDescent="0.25">
      <c r="B31" s="8">
        <v>36</v>
      </c>
      <c r="C31" s="8" t="s">
        <v>122</v>
      </c>
      <c r="D31" s="10">
        <v>45967</v>
      </c>
      <c r="E31" s="8" t="s">
        <v>108</v>
      </c>
      <c r="F31" s="8" t="s">
        <v>10</v>
      </c>
      <c r="G31" s="8">
        <v>70</v>
      </c>
      <c r="H31" s="8">
        <v>0</v>
      </c>
      <c r="I31" s="8">
        <v>-70</v>
      </c>
      <c r="J31" s="8">
        <v>0</v>
      </c>
      <c r="K31" s="8" t="s">
        <v>9</v>
      </c>
      <c r="L31" s="8" t="s">
        <v>5</v>
      </c>
      <c r="M31" s="8">
        <v>2025</v>
      </c>
      <c r="N31" s="8">
        <v>11</v>
      </c>
      <c r="O31" s="8"/>
    </row>
    <row r="32" spans="2:15" x14ac:dyDescent="0.25">
      <c r="B32" s="8">
        <v>37</v>
      </c>
      <c r="C32" s="8" t="s">
        <v>122</v>
      </c>
      <c r="D32" s="10">
        <v>45969</v>
      </c>
      <c r="E32" s="8" t="s">
        <v>109</v>
      </c>
      <c r="F32" s="8" t="s">
        <v>10</v>
      </c>
      <c r="G32" s="8">
        <v>1143.5999999999999</v>
      </c>
      <c r="H32" s="8">
        <v>0</v>
      </c>
      <c r="I32" s="8">
        <v>-1143.5999999999999</v>
      </c>
      <c r="J32" s="8">
        <v>0</v>
      </c>
      <c r="K32" s="8" t="s">
        <v>9</v>
      </c>
      <c r="L32" s="8" t="s">
        <v>5</v>
      </c>
      <c r="M32" s="8">
        <v>2025</v>
      </c>
      <c r="N32" s="8">
        <v>11</v>
      </c>
      <c r="O32" s="8"/>
    </row>
    <row r="33" spans="2:15" x14ac:dyDescent="0.25">
      <c r="B33" s="8">
        <v>38</v>
      </c>
      <c r="C33" s="8" t="s">
        <v>122</v>
      </c>
      <c r="D33" s="10">
        <v>45969</v>
      </c>
      <c r="E33" s="8" t="s">
        <v>110</v>
      </c>
      <c r="F33" s="8" t="s">
        <v>10</v>
      </c>
      <c r="G33" s="8">
        <v>1420</v>
      </c>
      <c r="H33" s="8">
        <v>0</v>
      </c>
      <c r="I33" s="8">
        <v>-1420</v>
      </c>
      <c r="J33" s="8">
        <v>0</v>
      </c>
      <c r="K33" s="8" t="s">
        <v>9</v>
      </c>
      <c r="L33" s="8" t="s">
        <v>5</v>
      </c>
      <c r="M33" s="8">
        <v>2025</v>
      </c>
      <c r="N33" s="8">
        <v>11</v>
      </c>
      <c r="O33" s="8"/>
    </row>
    <row r="34" spans="2:15" x14ac:dyDescent="0.25">
      <c r="B34" s="8">
        <v>7</v>
      </c>
      <c r="C34" s="8" t="s">
        <v>122</v>
      </c>
      <c r="D34" s="10">
        <v>45962</v>
      </c>
      <c r="E34" s="8" t="s">
        <v>42</v>
      </c>
      <c r="F34" s="8" t="s">
        <v>85</v>
      </c>
      <c r="G34" s="8">
        <v>0</v>
      </c>
      <c r="H34" s="8">
        <v>48200</v>
      </c>
      <c r="I34" s="8">
        <v>48200</v>
      </c>
      <c r="J34" s="8">
        <v>0</v>
      </c>
      <c r="K34" s="8" t="s">
        <v>43</v>
      </c>
      <c r="L34" s="8" t="s">
        <v>44</v>
      </c>
      <c r="M34" s="8">
        <v>2025</v>
      </c>
      <c r="N34" s="8">
        <v>11</v>
      </c>
      <c r="O34" s="8"/>
    </row>
    <row r="35" spans="2:15" x14ac:dyDescent="0.25">
      <c r="B35" s="8">
        <v>8</v>
      </c>
      <c r="C35" s="8" t="s">
        <v>122</v>
      </c>
      <c r="D35" s="10">
        <v>45962</v>
      </c>
      <c r="E35" s="8" t="s">
        <v>130</v>
      </c>
      <c r="F35" s="8" t="s">
        <v>37</v>
      </c>
      <c r="G35" s="8">
        <v>2921</v>
      </c>
      <c r="H35" s="8">
        <v>0</v>
      </c>
      <c r="I35" s="8">
        <v>-2921</v>
      </c>
      <c r="J35" s="8">
        <v>0</v>
      </c>
      <c r="K35" s="8" t="s">
        <v>38</v>
      </c>
      <c r="L35" s="8" t="s">
        <v>5</v>
      </c>
      <c r="M35" s="8">
        <v>2025</v>
      </c>
      <c r="N35" s="8">
        <v>11</v>
      </c>
      <c r="O35" s="8"/>
    </row>
    <row r="36" spans="2:15" x14ac:dyDescent="0.25">
      <c r="B36" s="8">
        <v>12</v>
      </c>
      <c r="C36" s="8" t="s">
        <v>123</v>
      </c>
      <c r="D36" s="10">
        <v>45962</v>
      </c>
      <c r="E36" s="8" t="s">
        <v>130</v>
      </c>
      <c r="F36" s="8" t="s">
        <v>37</v>
      </c>
      <c r="G36" s="8">
        <v>20000</v>
      </c>
      <c r="H36" s="8">
        <v>0</v>
      </c>
      <c r="I36" s="8">
        <v>-20000</v>
      </c>
      <c r="J36" s="8">
        <v>0</v>
      </c>
      <c r="K36" s="8" t="s">
        <v>38</v>
      </c>
      <c r="L36" s="8" t="s">
        <v>5</v>
      </c>
      <c r="M36" s="8">
        <v>2025</v>
      </c>
      <c r="N36" s="8">
        <v>11</v>
      </c>
      <c r="O36" s="8"/>
    </row>
    <row r="37" spans="2:15" x14ac:dyDescent="0.25">
      <c r="B37" s="8">
        <v>34</v>
      </c>
      <c r="C37" s="8" t="s">
        <v>122</v>
      </c>
      <c r="D37" s="10">
        <v>45966</v>
      </c>
      <c r="E37" s="8" t="s">
        <v>106</v>
      </c>
      <c r="F37" s="8" t="s">
        <v>37</v>
      </c>
      <c r="G37" s="8">
        <v>29.5</v>
      </c>
      <c r="H37" s="8">
        <v>0</v>
      </c>
      <c r="I37" s="8">
        <v>-29.5</v>
      </c>
      <c r="J37" s="8">
        <v>0</v>
      </c>
      <c r="K37" s="8" t="s">
        <v>38</v>
      </c>
      <c r="L37" s="8" t="s">
        <v>5</v>
      </c>
      <c r="M37" s="8">
        <v>2025</v>
      </c>
      <c r="N37" s="8">
        <v>11</v>
      </c>
      <c r="O37" s="8"/>
    </row>
    <row r="38" spans="2:15" x14ac:dyDescent="0.25">
      <c r="B38" s="8">
        <v>9</v>
      </c>
      <c r="C38" s="8" t="s">
        <v>123</v>
      </c>
      <c r="D38" s="10">
        <v>45962</v>
      </c>
      <c r="E38" s="8" t="s">
        <v>124</v>
      </c>
      <c r="F38" s="8" t="s">
        <v>36</v>
      </c>
      <c r="G38" s="8">
        <v>63000</v>
      </c>
      <c r="H38" s="8">
        <v>0</v>
      </c>
      <c r="I38" s="8">
        <v>-63000</v>
      </c>
      <c r="J38" s="8">
        <v>0</v>
      </c>
      <c r="K38" s="8" t="s">
        <v>34</v>
      </c>
      <c r="L38" s="8" t="s">
        <v>35</v>
      </c>
      <c r="M38" s="8">
        <v>2025</v>
      </c>
      <c r="N38" s="8">
        <v>11</v>
      </c>
      <c r="O38" s="8"/>
    </row>
    <row r="39" spans="2:15" x14ac:dyDescent="0.25">
      <c r="B39" s="8">
        <v>10</v>
      </c>
      <c r="C39" s="8" t="s">
        <v>123</v>
      </c>
      <c r="D39" s="10">
        <v>45962</v>
      </c>
      <c r="E39" s="8" t="s">
        <v>42</v>
      </c>
      <c r="F39" s="8" t="s">
        <v>86</v>
      </c>
      <c r="G39" s="8">
        <v>0</v>
      </c>
      <c r="H39" s="8">
        <v>43000</v>
      </c>
      <c r="I39" s="8">
        <v>43000</v>
      </c>
      <c r="J39" s="8">
        <v>0</v>
      </c>
      <c r="K39" s="8" t="s">
        <v>43</v>
      </c>
      <c r="L39" s="8" t="s">
        <v>44</v>
      </c>
      <c r="M39" s="8">
        <v>2025</v>
      </c>
      <c r="N39" s="8">
        <v>11</v>
      </c>
      <c r="O39" s="8"/>
    </row>
    <row r="40" spans="2:15" x14ac:dyDescent="0.25">
      <c r="B40" s="8">
        <v>11</v>
      </c>
      <c r="C40" s="8" t="s">
        <v>123</v>
      </c>
      <c r="D40" s="10">
        <v>45962</v>
      </c>
      <c r="E40" s="8" t="s">
        <v>129</v>
      </c>
      <c r="F40" s="8" t="s">
        <v>45</v>
      </c>
      <c r="G40" s="8">
        <v>0</v>
      </c>
      <c r="H40" s="8">
        <v>50000</v>
      </c>
      <c r="I40" s="8">
        <v>50000</v>
      </c>
      <c r="J40" s="8">
        <v>0</v>
      </c>
      <c r="K40" s="8" t="s">
        <v>46</v>
      </c>
      <c r="L40" s="8" t="s">
        <v>44</v>
      </c>
      <c r="M40" s="8">
        <v>2025</v>
      </c>
      <c r="N40" s="8">
        <v>11</v>
      </c>
      <c r="O40" s="8"/>
    </row>
    <row r="41" spans="2:15" x14ac:dyDescent="0.25">
      <c r="B41" s="8">
        <v>13</v>
      </c>
      <c r="C41" s="8" t="s">
        <v>123</v>
      </c>
      <c r="D41" s="10">
        <v>45962</v>
      </c>
      <c r="E41" s="8" t="s">
        <v>131</v>
      </c>
      <c r="F41" s="8" t="s">
        <v>83</v>
      </c>
      <c r="G41" s="8">
        <v>11000</v>
      </c>
      <c r="H41" s="8">
        <v>0</v>
      </c>
      <c r="I41" s="8">
        <v>-11000</v>
      </c>
      <c r="J41" s="8">
        <v>0</v>
      </c>
      <c r="K41" s="8" t="s">
        <v>38</v>
      </c>
      <c r="L41" s="8" t="s">
        <v>5</v>
      </c>
      <c r="M41" s="8">
        <v>2025</v>
      </c>
      <c r="N41" s="8">
        <v>11</v>
      </c>
      <c r="O41" s="8"/>
    </row>
    <row r="42" spans="2:15" x14ac:dyDescent="0.25">
      <c r="B42" s="8">
        <v>14</v>
      </c>
      <c r="C42" s="8" t="s">
        <v>123</v>
      </c>
      <c r="D42" s="10">
        <v>45962</v>
      </c>
      <c r="E42" s="8" t="s">
        <v>119</v>
      </c>
      <c r="F42" s="8" t="s">
        <v>84</v>
      </c>
      <c r="G42" s="8">
        <v>5000</v>
      </c>
      <c r="H42" s="8">
        <v>0</v>
      </c>
      <c r="I42" s="8">
        <v>-5000</v>
      </c>
      <c r="J42" s="8">
        <v>0</v>
      </c>
      <c r="K42" s="8" t="s">
        <v>38</v>
      </c>
      <c r="L42" s="8" t="s">
        <v>5</v>
      </c>
      <c r="M42" s="8">
        <v>2025</v>
      </c>
      <c r="N42" s="8">
        <v>11</v>
      </c>
      <c r="O42" s="8"/>
    </row>
    <row r="43" spans="2:15" x14ac:dyDescent="0.25">
      <c r="B43" s="8">
        <v>24</v>
      </c>
      <c r="C43" s="8" t="s">
        <v>122</v>
      </c>
      <c r="D43" s="10">
        <v>45964</v>
      </c>
      <c r="E43" s="8" t="s">
        <v>118</v>
      </c>
      <c r="F43" s="8" t="s">
        <v>218</v>
      </c>
      <c r="G43" s="8">
        <v>1000</v>
      </c>
      <c r="H43" s="8">
        <v>0</v>
      </c>
      <c r="I43" s="8">
        <v>-1000</v>
      </c>
      <c r="J43" s="8">
        <v>0</v>
      </c>
      <c r="K43" s="8" t="s">
        <v>19</v>
      </c>
      <c r="L43" s="8" t="s">
        <v>5</v>
      </c>
      <c r="M43" s="8">
        <v>2025</v>
      </c>
      <c r="N43" s="8">
        <v>11</v>
      </c>
      <c r="O43" s="8"/>
    </row>
    <row r="44" spans="2:15" x14ac:dyDescent="0.25">
      <c r="B44" s="8">
        <v>27</v>
      </c>
      <c r="C44" s="8" t="s">
        <v>122</v>
      </c>
      <c r="D44" s="10">
        <v>45965</v>
      </c>
      <c r="E44" s="8" t="s">
        <v>120</v>
      </c>
      <c r="F44" s="8" t="s">
        <v>218</v>
      </c>
      <c r="G44" s="8">
        <v>298</v>
      </c>
      <c r="H44" s="8">
        <v>0</v>
      </c>
      <c r="I44" s="8">
        <v>-298</v>
      </c>
      <c r="J44" s="8">
        <v>0</v>
      </c>
      <c r="K44" s="8" t="s">
        <v>19</v>
      </c>
      <c r="L44" s="8" t="s">
        <v>5</v>
      </c>
      <c r="M44" s="8">
        <v>2025</v>
      </c>
      <c r="N44" s="8">
        <v>11</v>
      </c>
      <c r="O44" s="8"/>
    </row>
    <row r="45" spans="2:15" x14ac:dyDescent="0.25">
      <c r="B45" s="8">
        <v>30</v>
      </c>
      <c r="C45" s="8" t="s">
        <v>122</v>
      </c>
      <c r="D45" s="10">
        <v>45965</v>
      </c>
      <c r="E45" s="8" t="s">
        <v>121</v>
      </c>
      <c r="F45" s="8" t="s">
        <v>218</v>
      </c>
      <c r="G45" s="8">
        <v>299</v>
      </c>
      <c r="H45" s="8">
        <v>0</v>
      </c>
      <c r="I45" s="8">
        <v>-299</v>
      </c>
      <c r="J45" s="8">
        <v>0</v>
      </c>
      <c r="K45" s="8" t="s">
        <v>19</v>
      </c>
      <c r="L45" s="8" t="s">
        <v>5</v>
      </c>
      <c r="M45" s="8">
        <v>2025</v>
      </c>
      <c r="N45" s="8">
        <v>11</v>
      </c>
      <c r="O45" s="8"/>
    </row>
    <row r="46" spans="2:15" x14ac:dyDescent="0.25">
      <c r="B46" s="8">
        <v>15</v>
      </c>
      <c r="C46" s="8" t="s">
        <v>122</v>
      </c>
      <c r="D46" s="10">
        <v>45963</v>
      </c>
      <c r="E46" s="8" t="s">
        <v>92</v>
      </c>
      <c r="F46" s="8" t="s">
        <v>24</v>
      </c>
      <c r="G46" s="8">
        <v>2717</v>
      </c>
      <c r="H46" s="8">
        <v>0</v>
      </c>
      <c r="I46" s="8">
        <v>-2717</v>
      </c>
      <c r="J46" s="8">
        <v>0</v>
      </c>
      <c r="K46" s="8" t="s">
        <v>22</v>
      </c>
      <c r="L46" s="8" t="s">
        <v>5</v>
      </c>
      <c r="M46" s="8">
        <v>2025</v>
      </c>
      <c r="N46" s="8">
        <v>11</v>
      </c>
      <c r="O46" s="8"/>
    </row>
    <row r="47" spans="2:15" x14ac:dyDescent="0.25">
      <c r="B47" s="8">
        <v>16</v>
      </c>
      <c r="C47" s="8" t="s">
        <v>122</v>
      </c>
      <c r="D47" s="10">
        <v>45963</v>
      </c>
      <c r="E47" s="8" t="s">
        <v>93</v>
      </c>
      <c r="F47" s="8" t="s">
        <v>24</v>
      </c>
      <c r="G47" s="8">
        <v>3204.5</v>
      </c>
      <c r="H47" s="8">
        <v>0</v>
      </c>
      <c r="I47" s="8">
        <v>-3204.5</v>
      </c>
      <c r="J47" s="8">
        <v>0</v>
      </c>
      <c r="K47" s="8" t="s">
        <v>22</v>
      </c>
      <c r="L47" s="8" t="s">
        <v>5</v>
      </c>
      <c r="M47" s="8">
        <v>2025</v>
      </c>
      <c r="N47" s="8">
        <v>11</v>
      </c>
      <c r="O47" s="8"/>
    </row>
    <row r="48" spans="2:15" x14ac:dyDescent="0.25">
      <c r="B48" s="8">
        <v>39</v>
      </c>
      <c r="C48" s="8" t="s">
        <v>122</v>
      </c>
      <c r="D48" s="10">
        <v>45969</v>
      </c>
      <c r="E48" s="8" t="s">
        <v>111</v>
      </c>
      <c r="F48" s="8" t="s">
        <v>29</v>
      </c>
      <c r="G48" s="8">
        <v>470.8</v>
      </c>
      <c r="H48" s="8">
        <v>0</v>
      </c>
      <c r="I48" s="8">
        <v>-470.8</v>
      </c>
      <c r="J48" s="8">
        <v>0</v>
      </c>
      <c r="K48" s="8" t="s">
        <v>28</v>
      </c>
      <c r="L48" s="8" t="s">
        <v>5</v>
      </c>
      <c r="M48" s="8">
        <v>2025</v>
      </c>
      <c r="N48" s="8">
        <v>11</v>
      </c>
      <c r="O48" s="8"/>
    </row>
    <row r="49" spans="2:15" x14ac:dyDescent="0.25">
      <c r="B49" s="8">
        <v>41</v>
      </c>
      <c r="C49" s="8" t="s">
        <v>122</v>
      </c>
      <c r="D49" s="10">
        <v>45969</v>
      </c>
      <c r="E49" s="8" t="s">
        <v>113</v>
      </c>
      <c r="F49" s="8" t="s">
        <v>21</v>
      </c>
      <c r="G49" s="8">
        <v>352</v>
      </c>
      <c r="H49" s="8">
        <v>0</v>
      </c>
      <c r="I49" s="8">
        <v>-352</v>
      </c>
      <c r="J49" s="8">
        <v>0</v>
      </c>
      <c r="K49" s="8" t="s">
        <v>22</v>
      </c>
      <c r="L49" s="8" t="s">
        <v>5</v>
      </c>
      <c r="M49" s="8">
        <v>2025</v>
      </c>
      <c r="N49" s="8">
        <v>11</v>
      </c>
      <c r="O49" s="8"/>
    </row>
    <row r="50" spans="2:15" x14ac:dyDescent="0.25">
      <c r="B50" s="8">
        <v>42</v>
      </c>
      <c r="C50" s="8" t="s">
        <v>122</v>
      </c>
      <c r="D50" s="10">
        <v>45969</v>
      </c>
      <c r="E50" s="8" t="s">
        <v>114</v>
      </c>
      <c r="F50" s="8" t="s">
        <v>25</v>
      </c>
      <c r="G50" s="8">
        <v>60</v>
      </c>
      <c r="H50" s="8">
        <v>0</v>
      </c>
      <c r="I50" s="8">
        <v>-60</v>
      </c>
      <c r="J50" s="8">
        <v>0</v>
      </c>
      <c r="K50" s="8" t="s">
        <v>22</v>
      </c>
      <c r="L50" s="8" t="s">
        <v>5</v>
      </c>
      <c r="M50" s="8">
        <v>2025</v>
      </c>
      <c r="N50" s="8">
        <v>11</v>
      </c>
      <c r="O50" s="8"/>
    </row>
    <row r="51" spans="2:15" x14ac:dyDescent="0.25">
      <c r="B51" s="8">
        <v>43</v>
      </c>
      <c r="C51" s="8" t="s">
        <v>122</v>
      </c>
      <c r="D51" s="10">
        <v>45969</v>
      </c>
      <c r="E51" s="8" t="s">
        <v>115</v>
      </c>
      <c r="F51" s="8" t="s">
        <v>25</v>
      </c>
      <c r="G51" s="8">
        <v>30</v>
      </c>
      <c r="H51" s="8">
        <v>0</v>
      </c>
      <c r="I51" s="8">
        <v>-30</v>
      </c>
      <c r="J51" s="8">
        <v>0</v>
      </c>
      <c r="K51" s="8" t="s">
        <v>22</v>
      </c>
      <c r="L51" s="8" t="s">
        <v>5</v>
      </c>
      <c r="M51" s="8">
        <v>2025</v>
      </c>
      <c r="N51" s="8">
        <v>11</v>
      </c>
      <c r="O51" s="8"/>
    </row>
    <row r="52" spans="2:15" x14ac:dyDescent="0.25">
      <c r="B52" s="8">
        <v>44</v>
      </c>
      <c r="C52" s="8" t="s">
        <v>122</v>
      </c>
      <c r="D52" s="10">
        <v>45969</v>
      </c>
      <c r="E52" s="8" t="s">
        <v>116</v>
      </c>
      <c r="F52" s="8" t="s">
        <v>25</v>
      </c>
      <c r="G52" s="8">
        <v>30</v>
      </c>
      <c r="H52" s="8">
        <v>0</v>
      </c>
      <c r="I52" s="8">
        <v>-30</v>
      </c>
      <c r="J52" s="8">
        <v>0</v>
      </c>
      <c r="K52" s="8" t="s">
        <v>22</v>
      </c>
      <c r="L52" s="8" t="s">
        <v>5</v>
      </c>
      <c r="M52" s="8">
        <v>2025</v>
      </c>
      <c r="N52" s="8">
        <v>11</v>
      </c>
      <c r="O52" s="8"/>
    </row>
    <row r="53" spans="2:15" x14ac:dyDescent="0.25">
      <c r="B53" s="8">
        <v>45</v>
      </c>
      <c r="C53" s="8" t="s">
        <v>122</v>
      </c>
      <c r="D53" s="10">
        <v>45969</v>
      </c>
      <c r="E53" s="8" t="s">
        <v>117</v>
      </c>
      <c r="F53" s="8" t="s">
        <v>25</v>
      </c>
      <c r="G53" s="8">
        <v>20</v>
      </c>
      <c r="H53" s="8">
        <v>0</v>
      </c>
      <c r="I53" s="8">
        <v>-20</v>
      </c>
      <c r="J53" s="8">
        <v>0</v>
      </c>
      <c r="K53" s="8" t="s">
        <v>22</v>
      </c>
      <c r="L53" s="8" t="s">
        <v>5</v>
      </c>
      <c r="M53" s="8">
        <v>2025</v>
      </c>
      <c r="N53" s="8">
        <v>11</v>
      </c>
      <c r="O53" s="8"/>
    </row>
    <row r="54" spans="2:15" x14ac:dyDescent="0.25">
      <c r="B54" s="8">
        <v>46</v>
      </c>
      <c r="C54" s="8" t="s">
        <v>123</v>
      </c>
      <c r="D54" s="10">
        <v>45969</v>
      </c>
      <c r="E54" s="8" t="s">
        <v>125</v>
      </c>
      <c r="F54" s="8" t="s">
        <v>24</v>
      </c>
      <c r="G54" s="8">
        <v>750</v>
      </c>
      <c r="H54" s="8">
        <v>0</v>
      </c>
      <c r="I54" s="8">
        <v>-750</v>
      </c>
      <c r="J54" s="8">
        <v>0</v>
      </c>
      <c r="K54" s="8" t="s">
        <v>22</v>
      </c>
      <c r="L54" s="8" t="s">
        <v>5</v>
      </c>
      <c r="M54" s="8">
        <v>2025</v>
      </c>
      <c r="N54" s="8">
        <v>11</v>
      </c>
      <c r="O54" s="8"/>
    </row>
    <row r="55" spans="2:15" x14ac:dyDescent="0.25">
      <c r="B55" s="8">
        <v>47</v>
      </c>
      <c r="C55" s="8" t="s">
        <v>122</v>
      </c>
      <c r="D55" s="10">
        <v>45970</v>
      </c>
      <c r="E55" s="8" t="s">
        <v>126</v>
      </c>
      <c r="F55" s="8" t="s">
        <v>21</v>
      </c>
      <c r="G55" s="8">
        <v>940</v>
      </c>
      <c r="H55" s="8">
        <v>0</v>
      </c>
      <c r="I55" s="8">
        <v>-940</v>
      </c>
      <c r="J55" s="8">
        <v>0</v>
      </c>
      <c r="K55" s="8" t="s">
        <v>22</v>
      </c>
      <c r="L55" s="8" t="s">
        <v>5</v>
      </c>
      <c r="M55" s="8">
        <v>2025</v>
      </c>
      <c r="N55" s="8">
        <v>11</v>
      </c>
      <c r="O55" s="8"/>
    </row>
    <row r="56" spans="2:15" x14ac:dyDescent="0.25">
      <c r="B56" s="8">
        <v>48</v>
      </c>
      <c r="C56" s="8" t="s">
        <v>122</v>
      </c>
      <c r="D56" s="10">
        <v>45970</v>
      </c>
      <c r="E56" s="8" t="s">
        <v>127</v>
      </c>
      <c r="F56" s="8" t="s">
        <v>7</v>
      </c>
      <c r="G56" s="8">
        <v>80</v>
      </c>
      <c r="H56" s="8">
        <v>0</v>
      </c>
      <c r="I56" s="8">
        <v>-80</v>
      </c>
      <c r="J56" s="8">
        <v>0</v>
      </c>
      <c r="K56" s="8" t="s">
        <v>4</v>
      </c>
      <c r="L56" s="8" t="s">
        <v>5</v>
      </c>
      <c r="M56" s="8">
        <v>2025</v>
      </c>
      <c r="N56" s="8">
        <v>11</v>
      </c>
      <c r="O56" s="8"/>
    </row>
    <row r="57" spans="2:15" x14ac:dyDescent="0.25">
      <c r="B57" s="8">
        <v>49</v>
      </c>
      <c r="C57" s="8" t="s">
        <v>122</v>
      </c>
      <c r="D57" s="10">
        <v>45970</v>
      </c>
      <c r="E57" s="8" t="s">
        <v>128</v>
      </c>
      <c r="F57" s="8" t="s">
        <v>25</v>
      </c>
      <c r="G57" s="8">
        <v>165</v>
      </c>
      <c r="H57" s="8">
        <v>0</v>
      </c>
      <c r="I57" s="8">
        <v>-165</v>
      </c>
      <c r="J57" s="8">
        <v>0</v>
      </c>
      <c r="K57" s="8" t="s">
        <v>22</v>
      </c>
      <c r="L57" s="8" t="s">
        <v>5</v>
      </c>
      <c r="M57" s="8">
        <v>2025</v>
      </c>
      <c r="N57" s="8">
        <v>11</v>
      </c>
      <c r="O57" s="8"/>
    </row>
    <row r="58" spans="2:15" x14ac:dyDescent="0.25">
      <c r="B58" s="8">
        <v>50</v>
      </c>
      <c r="C58" s="8" t="s">
        <v>122</v>
      </c>
      <c r="D58" s="10">
        <v>45972</v>
      </c>
      <c r="E58" s="8" t="s">
        <v>132</v>
      </c>
      <c r="F58" s="8" t="s">
        <v>10</v>
      </c>
      <c r="G58" s="8">
        <v>0</v>
      </c>
      <c r="H58" s="8">
        <v>740</v>
      </c>
      <c r="I58" s="8">
        <v>740</v>
      </c>
      <c r="J58" s="8">
        <v>0</v>
      </c>
      <c r="K58" s="8" t="s">
        <v>9</v>
      </c>
      <c r="L58" s="8" t="s">
        <v>5</v>
      </c>
      <c r="M58" s="8">
        <v>2025</v>
      </c>
      <c r="N58" s="8">
        <v>11</v>
      </c>
      <c r="O58" s="8"/>
    </row>
    <row r="59" spans="2:15" x14ac:dyDescent="0.25">
      <c r="B59" s="8">
        <v>51</v>
      </c>
      <c r="C59" s="8" t="s">
        <v>122</v>
      </c>
      <c r="D59" s="10">
        <v>45972</v>
      </c>
      <c r="E59" s="8" t="s">
        <v>133</v>
      </c>
      <c r="F59" s="8" t="s">
        <v>10</v>
      </c>
      <c r="G59" s="8">
        <v>1330</v>
      </c>
      <c r="H59" s="8">
        <v>0</v>
      </c>
      <c r="I59" s="8">
        <v>-1330</v>
      </c>
      <c r="J59" s="8">
        <v>0</v>
      </c>
      <c r="K59" s="8" t="s">
        <v>9</v>
      </c>
      <c r="L59" s="8" t="s">
        <v>5</v>
      </c>
      <c r="M59" s="8">
        <v>2025</v>
      </c>
      <c r="N59" s="8">
        <v>11</v>
      </c>
      <c r="O59" s="8"/>
    </row>
    <row r="60" spans="2:15" x14ac:dyDescent="0.25">
      <c r="B60" s="8">
        <v>52</v>
      </c>
      <c r="C60" s="8" t="s">
        <v>122</v>
      </c>
      <c r="D60" s="10">
        <v>45973</v>
      </c>
      <c r="E60" s="8" t="s">
        <v>134</v>
      </c>
      <c r="F60" s="8" t="s">
        <v>7</v>
      </c>
      <c r="G60" s="8">
        <v>255</v>
      </c>
      <c r="H60" s="8">
        <v>0</v>
      </c>
      <c r="I60" s="8">
        <v>-255</v>
      </c>
      <c r="J60" s="8">
        <v>0</v>
      </c>
      <c r="K60" s="8" t="s">
        <v>4</v>
      </c>
      <c r="L60" s="8" t="s">
        <v>5</v>
      </c>
      <c r="M60" s="8">
        <v>2025</v>
      </c>
      <c r="N60" s="8">
        <v>11</v>
      </c>
      <c r="O60" s="8"/>
    </row>
    <row r="61" spans="2:15" x14ac:dyDescent="0.25">
      <c r="B61" s="8">
        <v>53</v>
      </c>
      <c r="C61" s="8" t="s">
        <v>122</v>
      </c>
      <c r="D61" s="10">
        <v>45974</v>
      </c>
      <c r="E61" s="8" t="s">
        <v>148</v>
      </c>
      <c r="F61" s="8" t="s">
        <v>21</v>
      </c>
      <c r="G61" s="8">
        <v>125</v>
      </c>
      <c r="H61" s="8">
        <v>0</v>
      </c>
      <c r="I61" s="8">
        <v>-125</v>
      </c>
      <c r="J61" s="8">
        <v>0</v>
      </c>
      <c r="K61" s="8" t="s">
        <v>22</v>
      </c>
      <c r="L61" s="8" t="s">
        <v>5</v>
      </c>
      <c r="M61" s="8">
        <v>2025</v>
      </c>
      <c r="N61" s="8">
        <v>11</v>
      </c>
      <c r="O61" s="8"/>
    </row>
    <row r="62" spans="2:15" x14ac:dyDescent="0.25">
      <c r="B62" s="8">
        <v>54</v>
      </c>
      <c r="C62" s="8" t="s">
        <v>122</v>
      </c>
      <c r="D62" s="10">
        <v>45974</v>
      </c>
      <c r="E62" s="8" t="s">
        <v>135</v>
      </c>
      <c r="F62" s="8" t="s">
        <v>25</v>
      </c>
      <c r="G62" s="8">
        <v>40</v>
      </c>
      <c r="H62" s="8">
        <v>0</v>
      </c>
      <c r="I62" s="8">
        <v>-40</v>
      </c>
      <c r="J62" s="8">
        <v>0</v>
      </c>
      <c r="K62" s="8" t="s">
        <v>22</v>
      </c>
      <c r="L62" s="8" t="s">
        <v>5</v>
      </c>
      <c r="M62" s="8">
        <v>2025</v>
      </c>
      <c r="N62" s="8">
        <v>11</v>
      </c>
      <c r="O62" s="8"/>
    </row>
    <row r="63" spans="2:15" x14ac:dyDescent="0.25">
      <c r="B63" s="8">
        <v>55</v>
      </c>
      <c r="C63" s="8" t="s">
        <v>122</v>
      </c>
      <c r="D63" s="10">
        <v>45974</v>
      </c>
      <c r="E63" s="8" t="s">
        <v>136</v>
      </c>
      <c r="F63" s="8" t="s">
        <v>21</v>
      </c>
      <c r="G63" s="8">
        <v>803.46</v>
      </c>
      <c r="H63" s="8">
        <v>0</v>
      </c>
      <c r="I63" s="8">
        <v>-803.46</v>
      </c>
      <c r="J63" s="8">
        <v>0</v>
      </c>
      <c r="K63" s="8" t="s">
        <v>22</v>
      </c>
      <c r="L63" s="8" t="s">
        <v>5</v>
      </c>
      <c r="M63" s="8">
        <v>2025</v>
      </c>
      <c r="N63" s="8">
        <v>11</v>
      </c>
      <c r="O63" s="8"/>
    </row>
    <row r="64" spans="2:15" x14ac:dyDescent="0.25">
      <c r="B64" s="8">
        <v>56</v>
      </c>
      <c r="C64" s="8" t="s">
        <v>122</v>
      </c>
      <c r="D64" s="10">
        <v>45975</v>
      </c>
      <c r="E64" s="8" t="s">
        <v>137</v>
      </c>
      <c r="F64" s="8" t="s">
        <v>25</v>
      </c>
      <c r="G64" s="8">
        <v>160</v>
      </c>
      <c r="H64" s="8">
        <v>0</v>
      </c>
      <c r="I64" s="8">
        <v>-160</v>
      </c>
      <c r="J64" s="8">
        <v>0</v>
      </c>
      <c r="K64" s="8" t="s">
        <v>22</v>
      </c>
      <c r="L64" s="8" t="s">
        <v>5</v>
      </c>
      <c r="M64" s="8">
        <v>2025</v>
      </c>
      <c r="N64" s="8">
        <v>11</v>
      </c>
      <c r="O64" s="8"/>
    </row>
    <row r="65" spans="2:15" x14ac:dyDescent="0.25">
      <c r="B65" s="8">
        <v>57</v>
      </c>
      <c r="C65" s="8" t="s">
        <v>122</v>
      </c>
      <c r="D65" s="10">
        <v>45975</v>
      </c>
      <c r="E65" s="8" t="s">
        <v>138</v>
      </c>
      <c r="F65" s="8" t="s">
        <v>7</v>
      </c>
      <c r="G65" s="8">
        <v>20</v>
      </c>
      <c r="H65" s="8">
        <v>0</v>
      </c>
      <c r="I65" s="8">
        <v>-20</v>
      </c>
      <c r="J65" s="8">
        <v>0</v>
      </c>
      <c r="K65" s="8" t="s">
        <v>4</v>
      </c>
      <c r="L65" s="8" t="s">
        <v>5</v>
      </c>
      <c r="M65" s="8">
        <v>2025</v>
      </c>
      <c r="N65" s="8">
        <v>11</v>
      </c>
      <c r="O65" s="8"/>
    </row>
    <row r="66" spans="2:15" x14ac:dyDescent="0.25">
      <c r="B66" s="8">
        <v>58</v>
      </c>
      <c r="C66" s="8" t="s">
        <v>122</v>
      </c>
      <c r="D66" s="10">
        <v>45975</v>
      </c>
      <c r="E66" s="8" t="s">
        <v>139</v>
      </c>
      <c r="F66" s="8" t="s">
        <v>3</v>
      </c>
      <c r="G66" s="8">
        <v>15500</v>
      </c>
      <c r="H66" s="8">
        <v>0</v>
      </c>
      <c r="I66" s="8">
        <v>-15500</v>
      </c>
      <c r="J66" s="8">
        <v>0</v>
      </c>
      <c r="K66" s="8" t="s">
        <v>4</v>
      </c>
      <c r="L66" s="8" t="s">
        <v>5</v>
      </c>
      <c r="M66" s="8">
        <v>2025</v>
      </c>
      <c r="N66" s="8">
        <v>11</v>
      </c>
      <c r="O66" s="8"/>
    </row>
    <row r="67" spans="2:15" x14ac:dyDescent="0.25">
      <c r="B67" s="8">
        <v>59</v>
      </c>
      <c r="C67" s="8" t="s">
        <v>122</v>
      </c>
      <c r="D67" s="10">
        <v>45975</v>
      </c>
      <c r="E67" s="8" t="s">
        <v>81</v>
      </c>
      <c r="F67" s="8" t="s">
        <v>81</v>
      </c>
      <c r="G67" s="8">
        <v>250</v>
      </c>
      <c r="H67" s="8">
        <v>0</v>
      </c>
      <c r="I67" s="8">
        <v>-250</v>
      </c>
      <c r="J67" s="8">
        <v>0</v>
      </c>
      <c r="K67" s="8" t="s">
        <v>4</v>
      </c>
      <c r="L67" s="8" t="s">
        <v>5</v>
      </c>
      <c r="M67" s="8">
        <v>2025</v>
      </c>
      <c r="N67" s="8">
        <v>11</v>
      </c>
      <c r="O67" s="8"/>
    </row>
    <row r="68" spans="2:15" x14ac:dyDescent="0.25">
      <c r="B68" s="8">
        <v>60</v>
      </c>
      <c r="C68" s="8" t="s">
        <v>122</v>
      </c>
      <c r="D68" s="10">
        <v>45975</v>
      </c>
      <c r="E68" s="8" t="s">
        <v>6</v>
      </c>
      <c r="F68" s="8" t="s">
        <v>6</v>
      </c>
      <c r="G68" s="8">
        <v>609</v>
      </c>
      <c r="H68" s="8">
        <v>0</v>
      </c>
      <c r="I68" s="8">
        <v>-609</v>
      </c>
      <c r="J68" s="8">
        <v>0</v>
      </c>
      <c r="K68" s="8" t="s">
        <v>4</v>
      </c>
      <c r="L68" s="8" t="s">
        <v>5</v>
      </c>
      <c r="M68" s="8">
        <v>2025</v>
      </c>
      <c r="N68" s="8">
        <v>11</v>
      </c>
      <c r="O68" s="8"/>
    </row>
    <row r="69" spans="2:15" x14ac:dyDescent="0.25">
      <c r="B69" s="8">
        <v>61</v>
      </c>
      <c r="C69" s="8" t="s">
        <v>123</v>
      </c>
      <c r="D69" s="10">
        <v>45975</v>
      </c>
      <c r="E69" s="8" t="s">
        <v>140</v>
      </c>
      <c r="F69" s="8" t="s">
        <v>7</v>
      </c>
      <c r="G69" s="8">
        <v>856</v>
      </c>
      <c r="H69" s="8">
        <v>0</v>
      </c>
      <c r="I69" s="8">
        <v>-856</v>
      </c>
      <c r="J69" s="8">
        <v>0</v>
      </c>
      <c r="K69" s="8" t="s">
        <v>4</v>
      </c>
      <c r="L69" s="8" t="s">
        <v>5</v>
      </c>
      <c r="M69" s="8">
        <v>2025</v>
      </c>
      <c r="N69" s="8">
        <v>11</v>
      </c>
      <c r="O69" s="8"/>
    </row>
    <row r="70" spans="2:15" x14ac:dyDescent="0.25">
      <c r="B70" s="8">
        <v>62</v>
      </c>
      <c r="C70" s="8" t="s">
        <v>123</v>
      </c>
      <c r="D70" s="10">
        <v>45975</v>
      </c>
      <c r="E70" s="8" t="s">
        <v>141</v>
      </c>
      <c r="F70" s="8" t="s">
        <v>7</v>
      </c>
      <c r="G70" s="8">
        <v>384</v>
      </c>
      <c r="H70" s="8">
        <v>0</v>
      </c>
      <c r="I70" s="8">
        <v>-384</v>
      </c>
      <c r="J70" s="8">
        <v>0</v>
      </c>
      <c r="K70" s="8" t="s">
        <v>4</v>
      </c>
      <c r="L70" s="8" t="s">
        <v>5</v>
      </c>
      <c r="M70" s="8">
        <v>2025</v>
      </c>
      <c r="N70" s="8">
        <v>11</v>
      </c>
      <c r="O70" s="8"/>
    </row>
    <row r="71" spans="2:15" x14ac:dyDescent="0.25">
      <c r="B71" s="8">
        <v>63</v>
      </c>
      <c r="C71" s="8" t="s">
        <v>123</v>
      </c>
      <c r="D71" s="10">
        <v>45975</v>
      </c>
      <c r="E71" s="8" t="s">
        <v>142</v>
      </c>
      <c r="F71" s="8" t="s">
        <v>25</v>
      </c>
      <c r="G71" s="8">
        <v>490</v>
      </c>
      <c r="H71" s="8">
        <v>0</v>
      </c>
      <c r="I71" s="8">
        <v>-490</v>
      </c>
      <c r="J71" s="8">
        <v>0</v>
      </c>
      <c r="K71" s="8" t="s">
        <v>22</v>
      </c>
      <c r="L71" s="8" t="s">
        <v>5</v>
      </c>
      <c r="M71" s="8">
        <v>2025</v>
      </c>
      <c r="N71" s="8">
        <v>11</v>
      </c>
      <c r="O71" s="8"/>
    </row>
    <row r="72" spans="2:15" x14ac:dyDescent="0.25">
      <c r="B72" s="8">
        <v>64</v>
      </c>
      <c r="C72" s="8" t="s">
        <v>123</v>
      </c>
      <c r="D72" s="10">
        <v>45975</v>
      </c>
      <c r="E72" s="8" t="s">
        <v>143</v>
      </c>
      <c r="F72" s="8" t="s">
        <v>21</v>
      </c>
      <c r="G72" s="8">
        <v>715</v>
      </c>
      <c r="H72" s="8">
        <v>0</v>
      </c>
      <c r="I72" s="8">
        <v>-715</v>
      </c>
      <c r="J72" s="8">
        <v>0</v>
      </c>
      <c r="K72" s="8" t="s">
        <v>22</v>
      </c>
      <c r="L72" s="8" t="s">
        <v>5</v>
      </c>
      <c r="M72" s="8">
        <v>2025</v>
      </c>
      <c r="N72" s="8">
        <v>11</v>
      </c>
      <c r="O72" s="8"/>
    </row>
    <row r="73" spans="2:15" x14ac:dyDescent="0.25">
      <c r="B73" s="8">
        <v>65</v>
      </c>
      <c r="C73" s="8" t="s">
        <v>122</v>
      </c>
      <c r="D73" s="10">
        <v>45977</v>
      </c>
      <c r="E73" s="8" t="s">
        <v>145</v>
      </c>
      <c r="F73" s="8" t="s">
        <v>21</v>
      </c>
      <c r="G73" s="8">
        <v>67</v>
      </c>
      <c r="H73" s="8">
        <v>0</v>
      </c>
      <c r="I73" s="8">
        <v>-67</v>
      </c>
      <c r="J73" s="8">
        <v>0</v>
      </c>
      <c r="K73" s="8" t="s">
        <v>22</v>
      </c>
      <c r="L73" s="8" t="s">
        <v>5</v>
      </c>
      <c r="M73" s="8">
        <v>2025</v>
      </c>
      <c r="N73" s="8">
        <v>11</v>
      </c>
      <c r="O73" s="8"/>
    </row>
    <row r="74" spans="2:15" x14ac:dyDescent="0.25">
      <c r="B74" s="8">
        <v>66</v>
      </c>
      <c r="C74" s="8" t="s">
        <v>122</v>
      </c>
      <c r="D74" s="10">
        <v>45977</v>
      </c>
      <c r="E74" s="8" t="s">
        <v>144</v>
      </c>
      <c r="F74" s="8" t="s">
        <v>21</v>
      </c>
      <c r="G74" s="8">
        <v>150</v>
      </c>
      <c r="H74" s="8">
        <v>0</v>
      </c>
      <c r="I74" s="8">
        <v>-150</v>
      </c>
      <c r="J74" s="8">
        <v>0</v>
      </c>
      <c r="K74" s="8" t="s">
        <v>22</v>
      </c>
      <c r="L74" s="8" t="s">
        <v>5</v>
      </c>
      <c r="M74" s="8">
        <v>2025</v>
      </c>
      <c r="N74" s="8">
        <v>11</v>
      </c>
      <c r="O74" s="8"/>
    </row>
    <row r="75" spans="2:15" x14ac:dyDescent="0.25">
      <c r="B75" s="8">
        <v>67</v>
      </c>
      <c r="C75" s="8" t="s">
        <v>122</v>
      </c>
      <c r="D75" s="10">
        <v>45977</v>
      </c>
      <c r="E75" s="8" t="s">
        <v>146</v>
      </c>
      <c r="F75" s="8" t="s">
        <v>21</v>
      </c>
      <c r="G75" s="8">
        <v>330</v>
      </c>
      <c r="H75" s="8">
        <v>0</v>
      </c>
      <c r="I75" s="8">
        <v>-330</v>
      </c>
      <c r="J75" s="8">
        <v>0</v>
      </c>
      <c r="K75" s="8" t="s">
        <v>22</v>
      </c>
      <c r="L75" s="8" t="s">
        <v>5</v>
      </c>
      <c r="M75" s="8">
        <v>2025</v>
      </c>
      <c r="N75" s="8">
        <v>11</v>
      </c>
      <c r="O75" s="8"/>
    </row>
    <row r="76" spans="2:15" x14ac:dyDescent="0.25">
      <c r="B76" s="8">
        <v>68</v>
      </c>
      <c r="C76" s="8" t="s">
        <v>122</v>
      </c>
      <c r="D76" s="10">
        <v>45977</v>
      </c>
      <c r="E76" s="8" t="s">
        <v>147</v>
      </c>
      <c r="F76" s="8" t="s">
        <v>25</v>
      </c>
      <c r="G76" s="8">
        <v>40</v>
      </c>
      <c r="H76" s="8">
        <v>0</v>
      </c>
      <c r="I76" s="8">
        <v>-40</v>
      </c>
      <c r="J76" s="8">
        <v>0</v>
      </c>
      <c r="K76" s="8" t="s">
        <v>22</v>
      </c>
      <c r="L76" s="8" t="s">
        <v>5</v>
      </c>
      <c r="M76" s="8">
        <v>2025</v>
      </c>
      <c r="N76" s="8">
        <v>11</v>
      </c>
      <c r="O76" s="8"/>
    </row>
    <row r="77" spans="2:15" x14ac:dyDescent="0.25">
      <c r="B77" s="8">
        <v>69</v>
      </c>
      <c r="C77" s="8" t="s">
        <v>122</v>
      </c>
      <c r="D77" s="10">
        <v>45978</v>
      </c>
      <c r="E77" s="8" t="s">
        <v>149</v>
      </c>
      <c r="F77" s="8" t="s">
        <v>21</v>
      </c>
      <c r="G77" s="8">
        <v>147</v>
      </c>
      <c r="H77" s="8">
        <v>0</v>
      </c>
      <c r="I77" s="8">
        <v>-147</v>
      </c>
      <c r="J77" s="8">
        <v>0</v>
      </c>
      <c r="K77" s="8" t="s">
        <v>22</v>
      </c>
      <c r="L77" s="8" t="s">
        <v>5</v>
      </c>
      <c r="M77" s="8">
        <v>2025</v>
      </c>
      <c r="N77" s="8">
        <v>11</v>
      </c>
      <c r="O77" s="8"/>
    </row>
    <row r="78" spans="2:15" x14ac:dyDescent="0.25">
      <c r="B78" s="8">
        <v>70</v>
      </c>
      <c r="C78" s="8" t="s">
        <v>123</v>
      </c>
      <c r="D78" s="10">
        <v>45978</v>
      </c>
      <c r="E78" s="8" t="s">
        <v>141</v>
      </c>
      <c r="F78" s="8" t="s">
        <v>21</v>
      </c>
      <c r="G78" s="8">
        <v>161</v>
      </c>
      <c r="H78" s="8">
        <v>0</v>
      </c>
      <c r="I78" s="8">
        <v>-161</v>
      </c>
      <c r="J78" s="8">
        <v>0</v>
      </c>
      <c r="K78" s="8" t="s">
        <v>22</v>
      </c>
      <c r="L78" s="8" t="s">
        <v>5</v>
      </c>
      <c r="M78" s="8">
        <v>2025</v>
      </c>
      <c r="N78" s="8">
        <v>11</v>
      </c>
      <c r="O78" s="8"/>
    </row>
    <row r="79" spans="2:15" x14ac:dyDescent="0.25">
      <c r="B79" s="8">
        <v>71</v>
      </c>
      <c r="C79" s="8" t="s">
        <v>123</v>
      </c>
      <c r="D79" s="10">
        <v>45979</v>
      </c>
      <c r="E79" s="8" t="s">
        <v>159</v>
      </c>
      <c r="F79" s="8" t="s">
        <v>25</v>
      </c>
      <c r="G79" s="8">
        <v>360</v>
      </c>
      <c r="H79" s="8">
        <v>0</v>
      </c>
      <c r="I79" s="8">
        <v>-360</v>
      </c>
      <c r="J79" s="8">
        <v>0</v>
      </c>
      <c r="K79" s="8" t="s">
        <v>22</v>
      </c>
      <c r="L79" s="8" t="s">
        <v>5</v>
      </c>
      <c r="M79" s="8">
        <v>2025</v>
      </c>
      <c r="N79" s="8">
        <v>11</v>
      </c>
      <c r="O79" s="8"/>
    </row>
    <row r="80" spans="2:15" x14ac:dyDescent="0.25">
      <c r="B80" s="8">
        <v>72</v>
      </c>
      <c r="C80" s="8" t="s">
        <v>123</v>
      </c>
      <c r="D80" s="10">
        <v>45979</v>
      </c>
      <c r="E80" s="8" t="s">
        <v>160</v>
      </c>
      <c r="F80" s="8" t="s">
        <v>21</v>
      </c>
      <c r="G80" s="8">
        <v>500</v>
      </c>
      <c r="H80" s="8">
        <v>0</v>
      </c>
      <c r="I80" s="8">
        <v>-500</v>
      </c>
      <c r="J80" s="8">
        <v>0</v>
      </c>
      <c r="K80" s="8" t="s">
        <v>22</v>
      </c>
      <c r="L80" s="8" t="s">
        <v>5</v>
      </c>
      <c r="M80" s="8">
        <v>2025</v>
      </c>
      <c r="N80" s="8">
        <v>11</v>
      </c>
      <c r="O80" s="8"/>
    </row>
    <row r="81" spans="2:15" x14ac:dyDescent="0.25">
      <c r="B81" s="8">
        <v>73</v>
      </c>
      <c r="C81" s="8" t="s">
        <v>122</v>
      </c>
      <c r="D81" s="10">
        <v>45982</v>
      </c>
      <c r="E81" s="8" t="s">
        <v>150</v>
      </c>
      <c r="F81" s="8" t="s">
        <v>25</v>
      </c>
      <c r="G81" s="8">
        <v>340</v>
      </c>
      <c r="H81" s="8">
        <v>0</v>
      </c>
      <c r="I81" s="8">
        <v>-340</v>
      </c>
      <c r="J81" s="8">
        <v>0</v>
      </c>
      <c r="K81" s="8" t="s">
        <v>22</v>
      </c>
      <c r="L81" s="8" t="s">
        <v>5</v>
      </c>
      <c r="M81" s="8">
        <v>2025</v>
      </c>
      <c r="N81" s="8">
        <v>11</v>
      </c>
      <c r="O81" s="8"/>
    </row>
    <row r="82" spans="2:15" x14ac:dyDescent="0.25">
      <c r="B82" s="8">
        <v>74</v>
      </c>
      <c r="C82" s="8" t="s">
        <v>122</v>
      </c>
      <c r="D82" s="10">
        <v>45983</v>
      </c>
      <c r="E82" s="8" t="s">
        <v>151</v>
      </c>
      <c r="F82" s="8" t="s">
        <v>25</v>
      </c>
      <c r="G82" s="8">
        <v>24</v>
      </c>
      <c r="H82" s="8">
        <v>0</v>
      </c>
      <c r="I82" s="8">
        <v>-24</v>
      </c>
      <c r="J82" s="8">
        <v>0</v>
      </c>
      <c r="K82" s="8" t="s">
        <v>22</v>
      </c>
      <c r="L82" s="8" t="s">
        <v>5</v>
      </c>
      <c r="M82" s="8">
        <v>2025</v>
      </c>
      <c r="N82" s="8">
        <v>11</v>
      </c>
      <c r="O82" s="8"/>
    </row>
    <row r="83" spans="2:15" x14ac:dyDescent="0.25">
      <c r="B83" s="8">
        <v>75</v>
      </c>
      <c r="C83" s="8" t="s">
        <v>122</v>
      </c>
      <c r="D83" s="10">
        <v>45983</v>
      </c>
      <c r="E83" s="8" t="s">
        <v>152</v>
      </c>
      <c r="F83" s="8" t="s">
        <v>14</v>
      </c>
      <c r="G83" s="8">
        <v>30</v>
      </c>
      <c r="H83" s="8">
        <v>0</v>
      </c>
      <c r="I83" s="8">
        <v>-30</v>
      </c>
      <c r="J83" s="8">
        <v>0</v>
      </c>
      <c r="K83" s="8" t="s">
        <v>13</v>
      </c>
      <c r="L83" s="8" t="s">
        <v>5</v>
      </c>
      <c r="M83" s="8">
        <v>2025</v>
      </c>
      <c r="N83" s="8">
        <v>11</v>
      </c>
      <c r="O83" s="8"/>
    </row>
    <row r="84" spans="2:15" x14ac:dyDescent="0.25">
      <c r="B84" s="8">
        <v>76</v>
      </c>
      <c r="C84" s="8" t="s">
        <v>122</v>
      </c>
      <c r="D84" s="10">
        <v>45984</v>
      </c>
      <c r="E84" s="8" t="s">
        <v>153</v>
      </c>
      <c r="F84" s="8" t="s">
        <v>21</v>
      </c>
      <c r="G84" s="8">
        <v>855</v>
      </c>
      <c r="H84" s="8">
        <v>0</v>
      </c>
      <c r="I84" s="8">
        <v>-855</v>
      </c>
      <c r="J84" s="8">
        <v>0</v>
      </c>
      <c r="K84" s="8" t="s">
        <v>22</v>
      </c>
      <c r="L84" s="8" t="s">
        <v>5</v>
      </c>
      <c r="M84" s="8">
        <v>2025</v>
      </c>
      <c r="N84" s="8">
        <v>11</v>
      </c>
      <c r="O84" s="8"/>
    </row>
    <row r="85" spans="2:15" x14ac:dyDescent="0.25">
      <c r="B85" s="8">
        <v>77</v>
      </c>
      <c r="C85" s="8" t="s">
        <v>123</v>
      </c>
      <c r="D85" s="10">
        <v>45984</v>
      </c>
      <c r="E85" s="8" t="s">
        <v>162</v>
      </c>
      <c r="F85" s="8" t="s">
        <v>25</v>
      </c>
      <c r="G85" s="8">
        <v>300</v>
      </c>
      <c r="H85" s="8">
        <v>0</v>
      </c>
      <c r="I85" s="8">
        <v>-300</v>
      </c>
      <c r="J85" s="8">
        <v>0</v>
      </c>
      <c r="K85" s="8" t="s">
        <v>22</v>
      </c>
      <c r="L85" s="8" t="s">
        <v>5</v>
      </c>
      <c r="M85" s="8">
        <v>2025</v>
      </c>
      <c r="N85" s="8">
        <v>11</v>
      </c>
      <c r="O85" s="8"/>
    </row>
    <row r="86" spans="2:15" x14ac:dyDescent="0.25">
      <c r="B86" s="8">
        <v>78</v>
      </c>
      <c r="C86" s="8" t="s">
        <v>123</v>
      </c>
      <c r="D86" s="10">
        <v>45984</v>
      </c>
      <c r="E86" s="8" t="s">
        <v>163</v>
      </c>
      <c r="F86" s="8" t="s">
        <v>20</v>
      </c>
      <c r="G86" s="8">
        <v>150</v>
      </c>
      <c r="H86" s="8">
        <v>0</v>
      </c>
      <c r="I86" s="8">
        <v>-150</v>
      </c>
      <c r="J86" s="8">
        <v>0</v>
      </c>
      <c r="K86" s="8" t="s">
        <v>19</v>
      </c>
      <c r="L86" s="8" t="s">
        <v>5</v>
      </c>
      <c r="M86" s="8">
        <v>2025</v>
      </c>
      <c r="N86" s="8">
        <v>11</v>
      </c>
      <c r="O86" s="8"/>
    </row>
    <row r="87" spans="2:15" x14ac:dyDescent="0.25">
      <c r="B87" s="8">
        <v>79</v>
      </c>
      <c r="C87" s="8" t="s">
        <v>122</v>
      </c>
      <c r="D87" s="10">
        <v>45985</v>
      </c>
      <c r="E87" s="8" t="s">
        <v>128</v>
      </c>
      <c r="F87" s="8" t="s">
        <v>25</v>
      </c>
      <c r="G87" s="8">
        <v>70</v>
      </c>
      <c r="H87" s="8">
        <v>0</v>
      </c>
      <c r="I87" s="8">
        <v>-70</v>
      </c>
      <c r="J87" s="8">
        <v>0</v>
      </c>
      <c r="K87" s="8" t="s">
        <v>22</v>
      </c>
      <c r="L87" s="8" t="s">
        <v>5</v>
      </c>
      <c r="M87" s="8">
        <v>2025</v>
      </c>
      <c r="N87" s="8">
        <v>11</v>
      </c>
      <c r="O87" s="8"/>
    </row>
    <row r="88" spans="2:15" x14ac:dyDescent="0.25">
      <c r="B88" s="8">
        <v>80</v>
      </c>
      <c r="C88" s="8" t="s">
        <v>122</v>
      </c>
      <c r="D88" s="10">
        <v>45985</v>
      </c>
      <c r="E88" s="8" t="s">
        <v>154</v>
      </c>
      <c r="F88" s="8" t="s">
        <v>25</v>
      </c>
      <c r="G88" s="8">
        <v>230</v>
      </c>
      <c r="H88" s="8">
        <v>0</v>
      </c>
      <c r="I88" s="8">
        <v>-230</v>
      </c>
      <c r="J88" s="8">
        <v>0</v>
      </c>
      <c r="K88" s="8" t="s">
        <v>22</v>
      </c>
      <c r="L88" s="8" t="s">
        <v>5</v>
      </c>
      <c r="M88" s="8">
        <v>2025</v>
      </c>
      <c r="N88" s="8">
        <v>11</v>
      </c>
      <c r="O88" s="8"/>
    </row>
    <row r="89" spans="2:15" x14ac:dyDescent="0.25">
      <c r="B89" s="8">
        <v>81</v>
      </c>
      <c r="C89" s="8" t="s">
        <v>122</v>
      </c>
      <c r="D89" s="10">
        <v>45985</v>
      </c>
      <c r="E89" s="8" t="s">
        <v>155</v>
      </c>
      <c r="F89" s="8" t="s">
        <v>25</v>
      </c>
      <c r="G89" s="8">
        <v>30</v>
      </c>
      <c r="H89" s="8">
        <v>0</v>
      </c>
      <c r="I89" s="8">
        <v>-30</v>
      </c>
      <c r="J89" s="8">
        <v>0</v>
      </c>
      <c r="K89" s="8" t="s">
        <v>22</v>
      </c>
      <c r="L89" s="8" t="s">
        <v>5</v>
      </c>
      <c r="M89" s="8">
        <v>2025</v>
      </c>
      <c r="N89" s="8">
        <v>11</v>
      </c>
      <c r="O89" s="8"/>
    </row>
    <row r="90" spans="2:15" x14ac:dyDescent="0.25">
      <c r="B90" s="8">
        <v>82</v>
      </c>
      <c r="C90" s="8" t="s">
        <v>122</v>
      </c>
      <c r="D90" s="10">
        <v>45985</v>
      </c>
      <c r="E90" s="8" t="s">
        <v>166</v>
      </c>
      <c r="F90" s="8" t="s">
        <v>45</v>
      </c>
      <c r="G90" s="8">
        <v>0</v>
      </c>
      <c r="H90" s="8">
        <v>5000</v>
      </c>
      <c r="I90" s="8">
        <v>5000</v>
      </c>
      <c r="J90" s="8">
        <v>0</v>
      </c>
      <c r="K90" s="8" t="s">
        <v>46</v>
      </c>
      <c r="L90" s="8" t="s">
        <v>44</v>
      </c>
      <c r="M90" s="8">
        <v>2025</v>
      </c>
      <c r="N90" s="8">
        <v>11</v>
      </c>
      <c r="O90" s="8"/>
    </row>
    <row r="91" spans="2:15" x14ac:dyDescent="0.25">
      <c r="B91" s="8">
        <v>83</v>
      </c>
      <c r="C91" s="8" t="s">
        <v>123</v>
      </c>
      <c r="D91" s="10">
        <v>45985</v>
      </c>
      <c r="E91" s="8" t="s">
        <v>164</v>
      </c>
      <c r="F91" s="8" t="s">
        <v>25</v>
      </c>
      <c r="G91" s="8">
        <v>100</v>
      </c>
      <c r="H91" s="8">
        <v>0</v>
      </c>
      <c r="I91" s="8">
        <v>-100</v>
      </c>
      <c r="J91" s="8">
        <v>0</v>
      </c>
      <c r="K91" s="8" t="s">
        <v>22</v>
      </c>
      <c r="L91" s="8" t="s">
        <v>5</v>
      </c>
      <c r="M91" s="8">
        <v>2025</v>
      </c>
      <c r="N91" s="8">
        <v>11</v>
      </c>
      <c r="O91" s="8"/>
    </row>
    <row r="92" spans="2:15" x14ac:dyDescent="0.25">
      <c r="B92" s="8">
        <v>84</v>
      </c>
      <c r="C92" s="8" t="s">
        <v>123</v>
      </c>
      <c r="D92" s="10">
        <v>45985</v>
      </c>
      <c r="E92" s="8" t="s">
        <v>162</v>
      </c>
      <c r="F92" s="8" t="s">
        <v>25</v>
      </c>
      <c r="G92" s="8">
        <v>380</v>
      </c>
      <c r="H92" s="8">
        <v>0</v>
      </c>
      <c r="I92" s="8">
        <v>-380</v>
      </c>
      <c r="J92" s="8">
        <v>0</v>
      </c>
      <c r="K92" s="8" t="s">
        <v>22</v>
      </c>
      <c r="L92" s="8" t="s">
        <v>5</v>
      </c>
      <c r="M92" s="8">
        <v>2025</v>
      </c>
      <c r="N92" s="8">
        <v>11</v>
      </c>
      <c r="O92" s="8"/>
    </row>
    <row r="93" spans="2:15" x14ac:dyDescent="0.25">
      <c r="B93" s="8">
        <v>85</v>
      </c>
      <c r="C93" s="8" t="s">
        <v>122</v>
      </c>
      <c r="D93" s="10">
        <v>45986</v>
      </c>
      <c r="E93" s="8" t="s">
        <v>156</v>
      </c>
      <c r="F93" s="8" t="s">
        <v>10</v>
      </c>
      <c r="G93" s="8">
        <v>120</v>
      </c>
      <c r="H93" s="8">
        <v>0</v>
      </c>
      <c r="I93" s="8">
        <v>-120</v>
      </c>
      <c r="J93" s="8">
        <v>0</v>
      </c>
      <c r="K93" s="8" t="s">
        <v>9</v>
      </c>
      <c r="L93" s="8" t="s">
        <v>5</v>
      </c>
      <c r="M93" s="8">
        <v>2025</v>
      </c>
      <c r="N93" s="8">
        <v>11</v>
      </c>
      <c r="O93" s="8"/>
    </row>
    <row r="94" spans="2:15" x14ac:dyDescent="0.25">
      <c r="B94" s="8">
        <v>86</v>
      </c>
      <c r="C94" s="8" t="s">
        <v>122</v>
      </c>
      <c r="D94" s="10">
        <v>45986</v>
      </c>
      <c r="E94" s="8" t="s">
        <v>148</v>
      </c>
      <c r="F94" s="8" t="s">
        <v>21</v>
      </c>
      <c r="G94" s="8">
        <v>63</v>
      </c>
      <c r="H94" s="8">
        <v>0</v>
      </c>
      <c r="I94" s="8">
        <v>-63</v>
      </c>
      <c r="J94" s="8">
        <v>0</v>
      </c>
      <c r="K94" s="8" t="s">
        <v>22</v>
      </c>
      <c r="L94" s="8" t="s">
        <v>5</v>
      </c>
      <c r="M94" s="8">
        <v>2025</v>
      </c>
      <c r="N94" s="8">
        <v>11</v>
      </c>
      <c r="O94" s="8"/>
    </row>
    <row r="95" spans="2:15" x14ac:dyDescent="0.25">
      <c r="B95" s="8">
        <v>87</v>
      </c>
      <c r="C95" s="8" t="s">
        <v>122</v>
      </c>
      <c r="D95" s="10">
        <v>45986</v>
      </c>
      <c r="E95" s="8" t="s">
        <v>157</v>
      </c>
      <c r="F95" s="8" t="s">
        <v>218</v>
      </c>
      <c r="G95" s="8">
        <v>589</v>
      </c>
      <c r="H95" s="8">
        <v>0</v>
      </c>
      <c r="I95" s="8">
        <v>-589</v>
      </c>
      <c r="J95" s="8">
        <v>0</v>
      </c>
      <c r="K95" s="8" t="s">
        <v>19</v>
      </c>
      <c r="L95" s="8" t="s">
        <v>5</v>
      </c>
      <c r="M95" s="8">
        <v>2025</v>
      </c>
      <c r="N95" s="8">
        <v>11</v>
      </c>
      <c r="O95" s="8"/>
    </row>
    <row r="96" spans="2:15" x14ac:dyDescent="0.25">
      <c r="B96" s="8">
        <v>88</v>
      </c>
      <c r="C96" s="8" t="s">
        <v>122</v>
      </c>
      <c r="D96" s="10">
        <v>45986</v>
      </c>
      <c r="E96" s="8" t="s">
        <v>158</v>
      </c>
      <c r="F96" s="8" t="s">
        <v>8</v>
      </c>
      <c r="G96" s="8">
        <v>500</v>
      </c>
      <c r="H96" s="8">
        <v>0</v>
      </c>
      <c r="I96" s="8">
        <v>-500</v>
      </c>
      <c r="J96" s="8">
        <v>0</v>
      </c>
      <c r="K96" s="8" t="s">
        <v>9</v>
      </c>
      <c r="L96" s="8" t="s">
        <v>5</v>
      </c>
      <c r="M96" s="8">
        <v>2025</v>
      </c>
      <c r="N96" s="8">
        <v>11</v>
      </c>
      <c r="O96" s="8"/>
    </row>
    <row r="97" spans="2:15" x14ac:dyDescent="0.25">
      <c r="B97" s="8">
        <v>89</v>
      </c>
      <c r="C97" s="8" t="s">
        <v>123</v>
      </c>
      <c r="D97" s="10">
        <v>45986</v>
      </c>
      <c r="E97" s="8" t="s">
        <v>165</v>
      </c>
      <c r="F97" s="8" t="s">
        <v>21</v>
      </c>
      <c r="G97" s="8">
        <v>1257</v>
      </c>
      <c r="H97" s="8">
        <v>0</v>
      </c>
      <c r="I97" s="8">
        <v>-1257</v>
      </c>
      <c r="J97" s="8">
        <v>0</v>
      </c>
      <c r="K97" s="8" t="s">
        <v>22</v>
      </c>
      <c r="L97" s="8" t="s">
        <v>5</v>
      </c>
      <c r="M97" s="8">
        <v>2025</v>
      </c>
      <c r="N97" s="8">
        <v>11</v>
      </c>
      <c r="O97" s="8"/>
    </row>
    <row r="98" spans="2:15" x14ac:dyDescent="0.25">
      <c r="B98" s="8">
        <v>90</v>
      </c>
      <c r="C98" s="8" t="s">
        <v>122</v>
      </c>
      <c r="D98" s="10">
        <v>45987</v>
      </c>
      <c r="E98" s="8" t="s">
        <v>148</v>
      </c>
      <c r="F98" s="8" t="s">
        <v>21</v>
      </c>
      <c r="G98" s="8">
        <v>87</v>
      </c>
      <c r="H98" s="8">
        <v>0</v>
      </c>
      <c r="I98" s="8">
        <v>-87</v>
      </c>
      <c r="J98" s="8">
        <v>0</v>
      </c>
      <c r="K98" s="8" t="s">
        <v>22</v>
      </c>
      <c r="L98" s="8" t="s">
        <v>5</v>
      </c>
      <c r="M98" s="8">
        <v>2025</v>
      </c>
      <c r="N98" s="8">
        <v>11</v>
      </c>
      <c r="O98" s="8"/>
    </row>
    <row r="99" spans="2:15" x14ac:dyDescent="0.25">
      <c r="B99" s="8">
        <v>91</v>
      </c>
      <c r="C99" s="8" t="s">
        <v>122</v>
      </c>
      <c r="D99" s="10">
        <v>45987</v>
      </c>
      <c r="E99" s="8" t="s">
        <v>167</v>
      </c>
      <c r="F99" s="8" t="s">
        <v>21</v>
      </c>
      <c r="G99" s="8">
        <v>54</v>
      </c>
      <c r="H99" s="8">
        <v>0</v>
      </c>
      <c r="I99" s="8">
        <v>-54</v>
      </c>
      <c r="J99" s="8">
        <v>0</v>
      </c>
      <c r="K99" s="8" t="s">
        <v>22</v>
      </c>
      <c r="L99" s="8" t="s">
        <v>5</v>
      </c>
      <c r="M99" s="8">
        <v>2025</v>
      </c>
      <c r="N99" s="8">
        <v>11</v>
      </c>
      <c r="O99" s="8"/>
    </row>
    <row r="100" spans="2:15" x14ac:dyDescent="0.25">
      <c r="B100" s="8">
        <v>92</v>
      </c>
      <c r="C100" s="8" t="s">
        <v>122</v>
      </c>
      <c r="D100" s="10">
        <v>45987</v>
      </c>
      <c r="E100" s="8" t="s">
        <v>168</v>
      </c>
      <c r="F100" s="8" t="s">
        <v>23</v>
      </c>
      <c r="G100" s="8">
        <v>20</v>
      </c>
      <c r="H100" s="8">
        <v>0</v>
      </c>
      <c r="I100" s="8">
        <v>-20</v>
      </c>
      <c r="J100" s="8">
        <v>0</v>
      </c>
      <c r="K100" s="8" t="s">
        <v>22</v>
      </c>
      <c r="L100" s="8" t="s">
        <v>5</v>
      </c>
      <c r="M100" s="8">
        <v>2025</v>
      </c>
      <c r="N100" s="8">
        <v>11</v>
      </c>
      <c r="O100" s="8"/>
    </row>
    <row r="101" spans="2:15" x14ac:dyDescent="0.25">
      <c r="B101" s="8">
        <v>93</v>
      </c>
      <c r="C101" s="8" t="s">
        <v>123</v>
      </c>
      <c r="D101" s="10">
        <v>45988</v>
      </c>
      <c r="E101" s="8" t="s">
        <v>6</v>
      </c>
      <c r="F101" s="8" t="s">
        <v>6</v>
      </c>
      <c r="G101" s="8">
        <v>212</v>
      </c>
      <c r="H101" s="8">
        <v>0</v>
      </c>
      <c r="I101" s="8">
        <v>-212</v>
      </c>
      <c r="J101" s="8">
        <v>0</v>
      </c>
      <c r="K101" s="8" t="s">
        <v>4</v>
      </c>
      <c r="L101" s="8" t="s">
        <v>5</v>
      </c>
      <c r="M101" s="8">
        <v>2025</v>
      </c>
      <c r="N101" s="8">
        <v>11</v>
      </c>
      <c r="O101" s="8"/>
    </row>
    <row r="102" spans="2:15" x14ac:dyDescent="0.25">
      <c r="B102" s="8">
        <v>94</v>
      </c>
      <c r="C102" s="8" t="s">
        <v>123</v>
      </c>
      <c r="D102" s="10">
        <v>45988</v>
      </c>
      <c r="E102" s="8" t="s">
        <v>124</v>
      </c>
      <c r="F102" s="8" t="s">
        <v>36</v>
      </c>
      <c r="G102" s="8">
        <v>5000</v>
      </c>
      <c r="H102" s="8">
        <v>0</v>
      </c>
      <c r="I102" s="8">
        <v>-5000</v>
      </c>
      <c r="J102" s="8">
        <v>0</v>
      </c>
      <c r="K102" s="8" t="s">
        <v>34</v>
      </c>
      <c r="L102" s="8" t="s">
        <v>35</v>
      </c>
      <c r="M102" s="8">
        <v>2025</v>
      </c>
      <c r="N102" s="8">
        <v>11</v>
      </c>
      <c r="O102" s="8"/>
    </row>
    <row r="103" spans="2:15" x14ac:dyDescent="0.25">
      <c r="B103" s="8">
        <v>95</v>
      </c>
      <c r="C103" s="8" t="s">
        <v>122</v>
      </c>
      <c r="D103" s="10">
        <v>45989</v>
      </c>
      <c r="E103" s="8" t="s">
        <v>169</v>
      </c>
      <c r="F103" s="8" t="s">
        <v>21</v>
      </c>
      <c r="G103" s="8">
        <v>149</v>
      </c>
      <c r="H103" s="8">
        <v>0</v>
      </c>
      <c r="I103" s="8">
        <v>-149</v>
      </c>
      <c r="J103" s="8">
        <v>0</v>
      </c>
      <c r="K103" s="8" t="s">
        <v>22</v>
      </c>
      <c r="L103" s="8" t="s">
        <v>5</v>
      </c>
      <c r="M103" s="8">
        <v>2025</v>
      </c>
      <c r="N103" s="8">
        <v>11</v>
      </c>
      <c r="O103" s="8"/>
    </row>
    <row r="104" spans="2:15" x14ac:dyDescent="0.25">
      <c r="B104" s="8">
        <v>96</v>
      </c>
      <c r="C104" s="8" t="s">
        <v>123</v>
      </c>
      <c r="D104" s="10">
        <v>45989</v>
      </c>
      <c r="E104" s="8" t="s">
        <v>144</v>
      </c>
      <c r="F104" s="8" t="s">
        <v>21</v>
      </c>
      <c r="G104" s="8">
        <v>137</v>
      </c>
      <c r="H104" s="8">
        <v>0</v>
      </c>
      <c r="I104" s="8">
        <v>-137</v>
      </c>
      <c r="J104" s="8">
        <v>0</v>
      </c>
      <c r="K104" s="8" t="s">
        <v>22</v>
      </c>
      <c r="L104" s="8" t="s">
        <v>5</v>
      </c>
      <c r="M104" s="8">
        <v>2025</v>
      </c>
      <c r="N104" s="8">
        <v>11</v>
      </c>
      <c r="O104" s="8"/>
    </row>
    <row r="105" spans="2:15" x14ac:dyDescent="0.25">
      <c r="B105" s="8">
        <v>97</v>
      </c>
      <c r="C105" s="8" t="s">
        <v>123</v>
      </c>
      <c r="D105" s="10">
        <v>45989</v>
      </c>
      <c r="E105" s="8" t="s">
        <v>181</v>
      </c>
      <c r="F105" s="8" t="s">
        <v>24</v>
      </c>
      <c r="G105" s="8">
        <v>1155</v>
      </c>
      <c r="H105" s="8">
        <v>0</v>
      </c>
      <c r="I105" s="8">
        <v>-1155</v>
      </c>
      <c r="J105" s="8">
        <v>0</v>
      </c>
      <c r="K105" s="8" t="s">
        <v>22</v>
      </c>
      <c r="L105" s="8" t="s">
        <v>5</v>
      </c>
      <c r="M105" s="8">
        <v>2025</v>
      </c>
      <c r="N105" s="8">
        <v>11</v>
      </c>
      <c r="O105" s="8"/>
    </row>
    <row r="106" spans="2:15" x14ac:dyDescent="0.25">
      <c r="B106" s="8">
        <v>98</v>
      </c>
      <c r="C106" s="8" t="s">
        <v>122</v>
      </c>
      <c r="D106" s="10">
        <v>45990</v>
      </c>
      <c r="E106" s="8" t="s">
        <v>170</v>
      </c>
      <c r="F106" s="8" t="s">
        <v>25</v>
      </c>
      <c r="G106" s="8">
        <v>304</v>
      </c>
      <c r="H106" s="8">
        <v>0</v>
      </c>
      <c r="I106" s="8">
        <v>-304</v>
      </c>
      <c r="J106" s="8">
        <v>0</v>
      </c>
      <c r="K106" s="8" t="s">
        <v>22</v>
      </c>
      <c r="L106" s="8" t="s">
        <v>5</v>
      </c>
      <c r="M106" s="8">
        <v>2025</v>
      </c>
      <c r="N106" s="8">
        <v>11</v>
      </c>
      <c r="O106" s="8"/>
    </row>
    <row r="107" spans="2:15" x14ac:dyDescent="0.25">
      <c r="B107" s="8">
        <v>99</v>
      </c>
      <c r="C107" s="8" t="s">
        <v>122</v>
      </c>
      <c r="D107" s="10">
        <v>45991</v>
      </c>
      <c r="E107" s="8" t="s">
        <v>171</v>
      </c>
      <c r="F107" s="8" t="s">
        <v>21</v>
      </c>
      <c r="G107" s="8">
        <v>425</v>
      </c>
      <c r="H107" s="8">
        <v>0</v>
      </c>
      <c r="I107" s="8">
        <v>-425</v>
      </c>
      <c r="J107" s="8">
        <v>0</v>
      </c>
      <c r="K107" s="8" t="s">
        <v>22</v>
      </c>
      <c r="L107" s="8" t="s">
        <v>5</v>
      </c>
      <c r="M107" s="8">
        <v>2025</v>
      </c>
      <c r="N107" s="8">
        <v>11</v>
      </c>
      <c r="O107" s="8"/>
    </row>
    <row r="108" spans="2:15" x14ac:dyDescent="0.25">
      <c r="B108" s="8">
        <v>100</v>
      </c>
      <c r="C108" s="8" t="s">
        <v>122</v>
      </c>
      <c r="D108" s="10">
        <v>45991</v>
      </c>
      <c r="E108" s="8" t="s">
        <v>144</v>
      </c>
      <c r="F108" s="8" t="s">
        <v>21</v>
      </c>
      <c r="G108" s="8">
        <v>135</v>
      </c>
      <c r="H108" s="8">
        <v>0</v>
      </c>
      <c r="I108" s="8">
        <v>-135</v>
      </c>
      <c r="J108" s="8">
        <v>0</v>
      </c>
      <c r="K108" s="8" t="s">
        <v>22</v>
      </c>
      <c r="L108" s="8" t="s">
        <v>5</v>
      </c>
      <c r="M108" s="8">
        <v>2025</v>
      </c>
      <c r="N108" s="8">
        <v>11</v>
      </c>
      <c r="O108" s="8"/>
    </row>
    <row r="109" spans="2:15" x14ac:dyDescent="0.25">
      <c r="B109" s="8">
        <v>101</v>
      </c>
      <c r="C109" s="8" t="s">
        <v>122</v>
      </c>
      <c r="D109" s="10">
        <v>45991</v>
      </c>
      <c r="E109" s="8" t="s">
        <v>172</v>
      </c>
      <c r="F109" s="8" t="s">
        <v>21</v>
      </c>
      <c r="G109" s="8">
        <v>82</v>
      </c>
      <c r="H109" s="8">
        <v>0</v>
      </c>
      <c r="I109" s="8">
        <v>-82</v>
      </c>
      <c r="J109" s="8">
        <v>0</v>
      </c>
      <c r="K109" s="8" t="s">
        <v>22</v>
      </c>
      <c r="L109" s="8" t="s">
        <v>5</v>
      </c>
      <c r="M109" s="8">
        <v>2025</v>
      </c>
      <c r="N109" s="8">
        <v>11</v>
      </c>
      <c r="O109" s="8"/>
    </row>
    <row r="110" spans="2:15" x14ac:dyDescent="0.25">
      <c r="B110" s="8">
        <v>102</v>
      </c>
      <c r="C110" s="8" t="s">
        <v>123</v>
      </c>
      <c r="D110" s="10">
        <v>45991</v>
      </c>
      <c r="E110" s="8" t="s">
        <v>182</v>
      </c>
      <c r="F110" s="8" t="s">
        <v>21</v>
      </c>
      <c r="G110" s="8">
        <v>210</v>
      </c>
      <c r="H110" s="8">
        <v>0</v>
      </c>
      <c r="I110" s="8">
        <v>-210</v>
      </c>
      <c r="J110" s="8">
        <v>0</v>
      </c>
      <c r="K110" s="8" t="s">
        <v>22</v>
      </c>
      <c r="L110" s="8" t="s">
        <v>5</v>
      </c>
      <c r="M110" s="8">
        <v>2025</v>
      </c>
      <c r="N110" s="8">
        <v>11</v>
      </c>
      <c r="O110" s="8"/>
    </row>
    <row r="111" spans="2:15" x14ac:dyDescent="0.25">
      <c r="B111" s="8">
        <v>103</v>
      </c>
      <c r="C111" s="8" t="s">
        <v>122</v>
      </c>
      <c r="D111" s="10">
        <v>45992</v>
      </c>
      <c r="E111" s="8" t="s">
        <v>42</v>
      </c>
      <c r="F111" s="8" t="s">
        <v>85</v>
      </c>
      <c r="G111" s="8">
        <v>0</v>
      </c>
      <c r="H111" s="8">
        <v>48134</v>
      </c>
      <c r="I111" s="8">
        <v>48134</v>
      </c>
      <c r="J111" s="8">
        <v>0</v>
      </c>
      <c r="K111" s="8" t="s">
        <v>43</v>
      </c>
      <c r="L111" s="8" t="s">
        <v>44</v>
      </c>
      <c r="M111" s="8">
        <v>2025</v>
      </c>
      <c r="N111" s="8">
        <v>12</v>
      </c>
      <c r="O111" s="8"/>
    </row>
    <row r="112" spans="2:15" x14ac:dyDescent="0.25">
      <c r="B112" s="8">
        <v>104</v>
      </c>
      <c r="C112" s="8" t="s">
        <v>123</v>
      </c>
      <c r="D112" s="10">
        <v>45992</v>
      </c>
      <c r="E112" s="8" t="s">
        <v>42</v>
      </c>
      <c r="F112" s="8" t="s">
        <v>86</v>
      </c>
      <c r="G112" s="8">
        <v>0</v>
      </c>
      <c r="H112" s="8">
        <v>61720</v>
      </c>
      <c r="I112" s="8">
        <v>61720</v>
      </c>
      <c r="J112" s="8">
        <v>0</v>
      </c>
      <c r="K112" s="8" t="s">
        <v>43</v>
      </c>
      <c r="L112" s="8" t="s">
        <v>44</v>
      </c>
      <c r="M112" s="8">
        <v>2025</v>
      </c>
      <c r="N112" s="8">
        <v>12</v>
      </c>
      <c r="O112" s="8"/>
    </row>
    <row r="113" spans="2:15" x14ac:dyDescent="0.25">
      <c r="B113" s="8">
        <v>105</v>
      </c>
      <c r="C113" s="8" t="s">
        <v>123</v>
      </c>
      <c r="D113" s="10">
        <v>45992</v>
      </c>
      <c r="E113" s="8" t="s">
        <v>178</v>
      </c>
      <c r="F113" s="8" t="s">
        <v>84</v>
      </c>
      <c r="G113" s="8">
        <v>5000</v>
      </c>
      <c r="H113" s="8">
        <v>0</v>
      </c>
      <c r="I113" s="8">
        <v>-5000</v>
      </c>
      <c r="J113" s="8">
        <v>0</v>
      </c>
      <c r="K113" s="8" t="s">
        <v>38</v>
      </c>
      <c r="L113" s="8" t="s">
        <v>5</v>
      </c>
      <c r="M113" s="8">
        <v>2025</v>
      </c>
      <c r="N113" s="8">
        <v>12</v>
      </c>
      <c r="O113" s="8"/>
    </row>
    <row r="114" spans="2:15" x14ac:dyDescent="0.25">
      <c r="B114" s="8">
        <v>106</v>
      </c>
      <c r="C114" s="8" t="s">
        <v>123</v>
      </c>
      <c r="D114" s="10">
        <v>45992</v>
      </c>
      <c r="E114" s="8" t="s">
        <v>179</v>
      </c>
      <c r="F114" s="8" t="s">
        <v>83</v>
      </c>
      <c r="G114" s="8">
        <v>25000</v>
      </c>
      <c r="H114" s="8">
        <v>0</v>
      </c>
      <c r="I114" s="8">
        <v>-25000</v>
      </c>
      <c r="J114" s="8">
        <v>0</v>
      </c>
      <c r="K114" s="8" t="s">
        <v>38</v>
      </c>
      <c r="L114" s="8" t="s">
        <v>5</v>
      </c>
      <c r="M114" s="8">
        <v>2025</v>
      </c>
      <c r="N114" s="8">
        <v>12</v>
      </c>
      <c r="O114" s="8"/>
    </row>
    <row r="115" spans="2:15" x14ac:dyDescent="0.25">
      <c r="B115" s="8">
        <v>107</v>
      </c>
      <c r="C115" s="8" t="s">
        <v>123</v>
      </c>
      <c r="D115" s="10">
        <v>45992</v>
      </c>
      <c r="E115" s="8" t="s">
        <v>173</v>
      </c>
      <c r="F115" s="8" t="s">
        <v>7</v>
      </c>
      <c r="G115" s="8">
        <v>5635</v>
      </c>
      <c r="H115" s="8">
        <v>0</v>
      </c>
      <c r="I115" s="8">
        <v>-5635</v>
      </c>
      <c r="J115" s="8">
        <v>0</v>
      </c>
      <c r="K115" s="8" t="s">
        <v>4</v>
      </c>
      <c r="L115" s="8" t="s">
        <v>5</v>
      </c>
      <c r="M115" s="8">
        <v>2025</v>
      </c>
      <c r="N115" s="8">
        <v>12</v>
      </c>
      <c r="O115" s="8"/>
    </row>
    <row r="116" spans="2:15" x14ac:dyDescent="0.25">
      <c r="B116" s="8">
        <v>108</v>
      </c>
      <c r="C116" s="8" t="s">
        <v>123</v>
      </c>
      <c r="D116" s="10">
        <v>45992</v>
      </c>
      <c r="E116" s="8" t="s">
        <v>130</v>
      </c>
      <c r="F116" s="8" t="s">
        <v>37</v>
      </c>
      <c r="G116" s="8">
        <v>14540</v>
      </c>
      <c r="H116" s="8">
        <v>0</v>
      </c>
      <c r="I116" s="8">
        <v>-14540</v>
      </c>
      <c r="J116" s="8">
        <v>0</v>
      </c>
      <c r="K116" s="8" t="s">
        <v>38</v>
      </c>
      <c r="L116" s="8" t="s">
        <v>5</v>
      </c>
      <c r="M116" s="8">
        <v>2025</v>
      </c>
      <c r="N116" s="8">
        <v>12</v>
      </c>
      <c r="O116" s="8"/>
    </row>
    <row r="117" spans="2:15" x14ac:dyDescent="0.25">
      <c r="B117" s="8">
        <v>109</v>
      </c>
      <c r="C117" s="8" t="s">
        <v>123</v>
      </c>
      <c r="D117" s="10">
        <v>45992</v>
      </c>
      <c r="E117" s="8" t="s">
        <v>180</v>
      </c>
      <c r="F117" s="8" t="s">
        <v>7</v>
      </c>
      <c r="G117" s="8">
        <v>3240</v>
      </c>
      <c r="H117" s="8">
        <v>0</v>
      </c>
      <c r="I117" s="8">
        <v>-3240</v>
      </c>
      <c r="J117" s="8">
        <v>0</v>
      </c>
      <c r="K117" s="8" t="s">
        <v>4</v>
      </c>
      <c r="L117" s="8" t="s">
        <v>5</v>
      </c>
      <c r="M117" s="8">
        <v>2025</v>
      </c>
      <c r="N117" s="8">
        <v>12</v>
      </c>
      <c r="O117" s="8"/>
    </row>
    <row r="118" spans="2:15" x14ac:dyDescent="0.25">
      <c r="B118" s="8">
        <v>110</v>
      </c>
      <c r="C118" s="8" t="s">
        <v>123</v>
      </c>
      <c r="D118" s="10">
        <v>45992</v>
      </c>
      <c r="E118" s="8" t="s">
        <v>183</v>
      </c>
      <c r="F118" s="8" t="s">
        <v>30</v>
      </c>
      <c r="G118" s="8">
        <v>4000</v>
      </c>
      <c r="H118" s="8">
        <v>0</v>
      </c>
      <c r="I118" s="8">
        <v>-4000</v>
      </c>
      <c r="J118" s="8">
        <v>0</v>
      </c>
      <c r="K118" s="8" t="s">
        <v>28</v>
      </c>
      <c r="L118" s="8" t="s">
        <v>5</v>
      </c>
      <c r="M118" s="8">
        <v>2025</v>
      </c>
      <c r="N118" s="8">
        <v>12</v>
      </c>
      <c r="O118" s="8"/>
    </row>
    <row r="119" spans="2:15" x14ac:dyDescent="0.25">
      <c r="B119" s="8">
        <v>111</v>
      </c>
      <c r="C119" s="8" t="s">
        <v>123</v>
      </c>
      <c r="D119" s="10">
        <v>45992</v>
      </c>
      <c r="E119" s="8" t="s">
        <v>184</v>
      </c>
      <c r="F119" s="8" t="s">
        <v>25</v>
      </c>
      <c r="G119" s="8">
        <v>228</v>
      </c>
      <c r="H119" s="8">
        <v>0</v>
      </c>
      <c r="I119" s="8">
        <v>-228</v>
      </c>
      <c r="J119" s="8">
        <v>0</v>
      </c>
      <c r="K119" s="8" t="s">
        <v>22</v>
      </c>
      <c r="L119" s="8" t="s">
        <v>5</v>
      </c>
      <c r="M119" s="8">
        <v>2025</v>
      </c>
      <c r="N119" s="8">
        <v>12</v>
      </c>
      <c r="O119" s="8"/>
    </row>
    <row r="120" spans="2:15" x14ac:dyDescent="0.25">
      <c r="B120" s="8">
        <v>112</v>
      </c>
      <c r="C120" s="8" t="s">
        <v>122</v>
      </c>
      <c r="D120" s="10">
        <v>45993</v>
      </c>
      <c r="E120" s="8" t="s">
        <v>174</v>
      </c>
      <c r="F120" s="8" t="s">
        <v>218</v>
      </c>
      <c r="G120" s="8">
        <v>666</v>
      </c>
      <c r="H120" s="8">
        <v>0</v>
      </c>
      <c r="I120" s="8">
        <v>-666</v>
      </c>
      <c r="J120" s="8">
        <v>0</v>
      </c>
      <c r="K120" s="8" t="s">
        <v>19</v>
      </c>
      <c r="L120" s="8" t="s">
        <v>5</v>
      </c>
      <c r="M120" s="8">
        <v>2025</v>
      </c>
      <c r="N120" s="8">
        <v>12</v>
      </c>
      <c r="O120" s="8"/>
    </row>
    <row r="121" spans="2:15" x14ac:dyDescent="0.25">
      <c r="B121" s="8">
        <v>113</v>
      </c>
      <c r="C121" s="8" t="s">
        <v>122</v>
      </c>
      <c r="D121" s="10">
        <v>45993</v>
      </c>
      <c r="E121" s="8" t="s">
        <v>175</v>
      </c>
      <c r="F121" s="8" t="s">
        <v>218</v>
      </c>
      <c r="G121" s="8">
        <v>666</v>
      </c>
      <c r="H121" s="8">
        <v>0</v>
      </c>
      <c r="I121" s="8">
        <v>-666</v>
      </c>
      <c r="J121" s="8">
        <v>0</v>
      </c>
      <c r="K121" s="8" t="s">
        <v>19</v>
      </c>
      <c r="L121" s="8" t="s">
        <v>5</v>
      </c>
      <c r="M121" s="8">
        <v>2025</v>
      </c>
      <c r="N121" s="8">
        <v>12</v>
      </c>
      <c r="O121" s="8"/>
    </row>
    <row r="122" spans="2:15" x14ac:dyDescent="0.25">
      <c r="B122" s="8">
        <v>114</v>
      </c>
      <c r="C122" s="8" t="s">
        <v>122</v>
      </c>
      <c r="D122" s="10">
        <v>45993</v>
      </c>
      <c r="E122" s="8" t="s">
        <v>148</v>
      </c>
      <c r="F122" s="8" t="s">
        <v>21</v>
      </c>
      <c r="G122" s="8">
        <v>13</v>
      </c>
      <c r="H122" s="8">
        <v>0</v>
      </c>
      <c r="I122" s="8">
        <v>-13</v>
      </c>
      <c r="J122" s="8">
        <v>0</v>
      </c>
      <c r="K122" s="8" t="s">
        <v>22</v>
      </c>
      <c r="L122" s="8" t="s">
        <v>5</v>
      </c>
      <c r="M122" s="8">
        <v>2025</v>
      </c>
      <c r="N122" s="8">
        <v>12</v>
      </c>
      <c r="O122" s="8"/>
    </row>
    <row r="123" spans="2:15" x14ac:dyDescent="0.25">
      <c r="B123" s="8">
        <v>115</v>
      </c>
      <c r="C123" s="8" t="s">
        <v>123</v>
      </c>
      <c r="D123" s="10">
        <v>45993</v>
      </c>
      <c r="E123" s="8" t="s">
        <v>185</v>
      </c>
      <c r="F123" s="8" t="s">
        <v>39</v>
      </c>
      <c r="G123" s="8">
        <v>3000</v>
      </c>
      <c r="H123" s="8">
        <v>0</v>
      </c>
      <c r="I123" s="8">
        <v>-3000</v>
      </c>
      <c r="J123" s="8">
        <v>0</v>
      </c>
      <c r="K123" s="8" t="s">
        <v>38</v>
      </c>
      <c r="L123" s="8" t="s">
        <v>5</v>
      </c>
      <c r="M123" s="8">
        <v>2025</v>
      </c>
      <c r="N123" s="8">
        <v>12</v>
      </c>
      <c r="O123" s="8"/>
    </row>
    <row r="124" spans="2:15" x14ac:dyDescent="0.25">
      <c r="B124" s="8">
        <v>116</v>
      </c>
      <c r="C124" s="8" t="s">
        <v>123</v>
      </c>
      <c r="D124" s="10">
        <v>45993</v>
      </c>
      <c r="E124" s="8" t="s">
        <v>186</v>
      </c>
      <c r="F124" s="8" t="s">
        <v>21</v>
      </c>
      <c r="G124" s="8">
        <v>80</v>
      </c>
      <c r="H124" s="8">
        <v>0</v>
      </c>
      <c r="I124" s="8">
        <v>-80</v>
      </c>
      <c r="J124" s="8">
        <v>0</v>
      </c>
      <c r="K124" s="8" t="s">
        <v>22</v>
      </c>
      <c r="L124" s="8" t="s">
        <v>5</v>
      </c>
      <c r="M124" s="8">
        <v>2025</v>
      </c>
      <c r="N124" s="8">
        <v>12</v>
      </c>
      <c r="O124" s="8"/>
    </row>
    <row r="125" spans="2:15" x14ac:dyDescent="0.25">
      <c r="B125" s="8">
        <v>117</v>
      </c>
      <c r="C125" s="8" t="s">
        <v>123</v>
      </c>
      <c r="D125" s="10">
        <v>45993</v>
      </c>
      <c r="E125" s="8" t="s">
        <v>136</v>
      </c>
      <c r="F125" s="8" t="s">
        <v>21</v>
      </c>
      <c r="G125" s="8">
        <v>356</v>
      </c>
      <c r="H125" s="8">
        <v>0</v>
      </c>
      <c r="I125" s="8">
        <v>-356</v>
      </c>
      <c r="J125" s="8">
        <v>0</v>
      </c>
      <c r="K125" s="8" t="s">
        <v>22</v>
      </c>
      <c r="L125" s="8" t="s">
        <v>5</v>
      </c>
      <c r="M125" s="8">
        <v>2025</v>
      </c>
      <c r="N125" s="8">
        <v>12</v>
      </c>
      <c r="O125" s="8"/>
    </row>
    <row r="126" spans="2:15" x14ac:dyDescent="0.25">
      <c r="B126" s="8">
        <v>118</v>
      </c>
      <c r="C126" s="8" t="s">
        <v>122</v>
      </c>
      <c r="D126" s="10">
        <v>45994</v>
      </c>
      <c r="E126" s="8" t="s">
        <v>148</v>
      </c>
      <c r="F126" s="8" t="s">
        <v>21</v>
      </c>
      <c r="G126" s="8">
        <v>27</v>
      </c>
      <c r="H126" s="8">
        <v>0</v>
      </c>
      <c r="I126" s="8">
        <v>-27</v>
      </c>
      <c r="J126" s="8">
        <v>0</v>
      </c>
      <c r="K126" s="8" t="s">
        <v>22</v>
      </c>
      <c r="L126" s="8" t="s">
        <v>5</v>
      </c>
      <c r="M126" s="8">
        <v>2025</v>
      </c>
      <c r="N126" s="8">
        <v>12</v>
      </c>
      <c r="O126" s="8"/>
    </row>
    <row r="127" spans="2:15" x14ac:dyDescent="0.25">
      <c r="B127" s="8">
        <v>119</v>
      </c>
      <c r="C127" s="8" t="s">
        <v>123</v>
      </c>
      <c r="D127" s="10">
        <v>45996</v>
      </c>
      <c r="E127" s="8" t="s">
        <v>187</v>
      </c>
      <c r="F127" s="8" t="s">
        <v>18</v>
      </c>
      <c r="G127" s="8">
        <v>199</v>
      </c>
      <c r="H127" s="8">
        <v>0</v>
      </c>
      <c r="I127" s="8">
        <v>-199</v>
      </c>
      <c r="J127" s="8">
        <v>0</v>
      </c>
      <c r="K127" s="8" t="s">
        <v>19</v>
      </c>
      <c r="L127" s="8" t="s">
        <v>5</v>
      </c>
      <c r="M127" s="8">
        <v>2025</v>
      </c>
      <c r="N127" s="8">
        <v>12</v>
      </c>
      <c r="O127" s="8"/>
    </row>
    <row r="128" spans="2:15" x14ac:dyDescent="0.25">
      <c r="B128" s="8">
        <v>120</v>
      </c>
      <c r="C128" s="8" t="s">
        <v>122</v>
      </c>
      <c r="D128" s="10">
        <v>45998</v>
      </c>
      <c r="E128" s="8" t="s">
        <v>136</v>
      </c>
      <c r="F128" s="8" t="s">
        <v>21</v>
      </c>
      <c r="G128" s="8">
        <v>1852</v>
      </c>
      <c r="H128" s="8">
        <v>0</v>
      </c>
      <c r="I128" s="8">
        <v>-1852</v>
      </c>
      <c r="J128" s="8">
        <v>0</v>
      </c>
      <c r="K128" s="8" t="s">
        <v>22</v>
      </c>
      <c r="L128" s="8" t="s">
        <v>5</v>
      </c>
      <c r="M128" s="8">
        <v>2025</v>
      </c>
      <c r="N128" s="8">
        <v>12</v>
      </c>
      <c r="O128" s="8"/>
    </row>
    <row r="129" spans="2:15" x14ac:dyDescent="0.25">
      <c r="B129" s="8">
        <v>121</v>
      </c>
      <c r="C129" s="8" t="s">
        <v>122</v>
      </c>
      <c r="D129" s="10">
        <v>45998</v>
      </c>
      <c r="E129" s="8" t="s">
        <v>146</v>
      </c>
      <c r="F129" s="8" t="s">
        <v>21</v>
      </c>
      <c r="G129" s="8">
        <v>319</v>
      </c>
      <c r="H129" s="8">
        <v>0</v>
      </c>
      <c r="I129" s="8">
        <v>-319</v>
      </c>
      <c r="J129" s="8">
        <v>0</v>
      </c>
      <c r="K129" s="8" t="s">
        <v>22</v>
      </c>
      <c r="L129" s="8" t="s">
        <v>5</v>
      </c>
      <c r="M129" s="8">
        <v>2025</v>
      </c>
      <c r="N129" s="8">
        <v>12</v>
      </c>
      <c r="O129" s="8"/>
    </row>
    <row r="130" spans="2:15" x14ac:dyDescent="0.25">
      <c r="B130" s="8">
        <v>122</v>
      </c>
      <c r="C130" s="8" t="s">
        <v>122</v>
      </c>
      <c r="D130" s="10">
        <v>45998</v>
      </c>
      <c r="E130" s="8" t="s">
        <v>144</v>
      </c>
      <c r="F130" s="8" t="s">
        <v>21</v>
      </c>
      <c r="G130" s="8">
        <v>150</v>
      </c>
      <c r="H130" s="8">
        <v>0</v>
      </c>
      <c r="I130" s="8">
        <v>-150</v>
      </c>
      <c r="J130" s="8">
        <v>0</v>
      </c>
      <c r="K130" s="8" t="s">
        <v>22</v>
      </c>
      <c r="L130" s="8" t="s">
        <v>5</v>
      </c>
      <c r="M130" s="8">
        <v>2025</v>
      </c>
      <c r="N130" s="8">
        <v>12</v>
      </c>
      <c r="O130" s="8"/>
    </row>
    <row r="131" spans="2:15" x14ac:dyDescent="0.25">
      <c r="B131" s="8">
        <v>123</v>
      </c>
      <c r="C131" s="8" t="s">
        <v>122</v>
      </c>
      <c r="D131" s="10">
        <v>45998</v>
      </c>
      <c r="E131" s="8" t="s">
        <v>176</v>
      </c>
      <c r="F131" s="8" t="s">
        <v>26</v>
      </c>
      <c r="G131" s="8">
        <v>180</v>
      </c>
      <c r="H131" s="8">
        <v>0</v>
      </c>
      <c r="I131" s="8">
        <v>-180</v>
      </c>
      <c r="J131" s="8">
        <v>0</v>
      </c>
      <c r="K131" s="8" t="s">
        <v>22</v>
      </c>
      <c r="L131" s="8" t="s">
        <v>5</v>
      </c>
      <c r="M131" s="8">
        <v>2025</v>
      </c>
      <c r="N131" s="8">
        <v>12</v>
      </c>
      <c r="O131" s="8"/>
    </row>
    <row r="132" spans="2:15" x14ac:dyDescent="0.25">
      <c r="B132" s="8">
        <v>124</v>
      </c>
      <c r="C132" s="8" t="s">
        <v>122</v>
      </c>
      <c r="D132" s="10">
        <v>45998</v>
      </c>
      <c r="E132" s="8" t="s">
        <v>177</v>
      </c>
      <c r="F132" s="8" t="s">
        <v>25</v>
      </c>
      <c r="G132" s="8">
        <v>270</v>
      </c>
      <c r="H132" s="8">
        <v>0</v>
      </c>
      <c r="I132" s="8">
        <v>-270</v>
      </c>
      <c r="J132" s="8">
        <v>0</v>
      </c>
      <c r="K132" s="8" t="s">
        <v>22</v>
      </c>
      <c r="L132" s="8" t="s">
        <v>5</v>
      </c>
      <c r="M132" s="8">
        <v>2025</v>
      </c>
      <c r="N132" s="8">
        <v>12</v>
      </c>
      <c r="O132" s="8"/>
    </row>
    <row r="133" spans="2:15" x14ac:dyDescent="0.25">
      <c r="B133" s="8">
        <v>125</v>
      </c>
      <c r="C133" s="8" t="s">
        <v>123</v>
      </c>
      <c r="D133" s="10">
        <v>45998</v>
      </c>
      <c r="E133" s="8" t="s">
        <v>158</v>
      </c>
      <c r="F133" s="8" t="s">
        <v>8</v>
      </c>
      <c r="G133" s="8">
        <v>200</v>
      </c>
      <c r="H133" s="8">
        <v>0</v>
      </c>
      <c r="I133" s="8">
        <v>-200</v>
      </c>
      <c r="J133" s="8">
        <v>0</v>
      </c>
      <c r="K133" s="8" t="s">
        <v>9</v>
      </c>
      <c r="L133" s="8" t="s">
        <v>5</v>
      </c>
      <c r="M133" s="8">
        <v>2025</v>
      </c>
      <c r="N133" s="8">
        <v>12</v>
      </c>
      <c r="O133" s="8"/>
    </row>
    <row r="134" spans="2:15" x14ac:dyDescent="0.25">
      <c r="B134" s="8">
        <v>126</v>
      </c>
      <c r="C134" s="8" t="s">
        <v>123</v>
      </c>
      <c r="D134" s="10">
        <v>45998</v>
      </c>
      <c r="E134" s="8" t="s">
        <v>188</v>
      </c>
      <c r="F134" s="8" t="s">
        <v>26</v>
      </c>
      <c r="G134" s="8">
        <v>550</v>
      </c>
      <c r="H134" s="8">
        <v>0</v>
      </c>
      <c r="I134" s="8">
        <v>-550</v>
      </c>
      <c r="J134" s="8">
        <v>0</v>
      </c>
      <c r="K134" s="8" t="s">
        <v>22</v>
      </c>
      <c r="L134" s="8" t="s">
        <v>5</v>
      </c>
      <c r="M134" s="8">
        <v>2025</v>
      </c>
      <c r="N134" s="8">
        <v>12</v>
      </c>
      <c r="O134" s="8"/>
    </row>
    <row r="135" spans="2:15" x14ac:dyDescent="0.25">
      <c r="B135" s="8">
        <v>127</v>
      </c>
      <c r="C135" s="8" t="s">
        <v>123</v>
      </c>
      <c r="D135" s="10">
        <v>45998</v>
      </c>
      <c r="E135" s="8" t="s">
        <v>189</v>
      </c>
      <c r="F135" s="8" t="s">
        <v>36</v>
      </c>
      <c r="G135" s="8">
        <v>2000</v>
      </c>
      <c r="H135" s="8">
        <v>0</v>
      </c>
      <c r="I135" s="8">
        <v>-2000</v>
      </c>
      <c r="J135" s="8">
        <v>0</v>
      </c>
      <c r="K135" s="8" t="s">
        <v>34</v>
      </c>
      <c r="L135" s="8" t="s">
        <v>35</v>
      </c>
      <c r="M135" s="8">
        <v>2025</v>
      </c>
      <c r="N135" s="8">
        <v>12</v>
      </c>
      <c r="O135" s="8"/>
    </row>
    <row r="136" spans="2:15" x14ac:dyDescent="0.25">
      <c r="B136" s="8">
        <v>128</v>
      </c>
      <c r="C136" s="8" t="s">
        <v>123</v>
      </c>
      <c r="D136" s="10">
        <v>45998</v>
      </c>
      <c r="E136" s="8" t="s">
        <v>190</v>
      </c>
      <c r="F136" s="8" t="s">
        <v>10</v>
      </c>
      <c r="G136" s="8">
        <v>1860</v>
      </c>
      <c r="H136" s="8">
        <v>0</v>
      </c>
      <c r="I136" s="8">
        <v>-1860</v>
      </c>
      <c r="J136" s="8">
        <v>0</v>
      </c>
      <c r="K136" s="8" t="s">
        <v>9</v>
      </c>
      <c r="L136" s="8" t="s">
        <v>5</v>
      </c>
      <c r="M136" s="8">
        <v>2025</v>
      </c>
      <c r="N136" s="8">
        <v>12</v>
      </c>
      <c r="O136" s="8"/>
    </row>
    <row r="137" spans="2:15" x14ac:dyDescent="0.25">
      <c r="B137" s="8">
        <v>129</v>
      </c>
      <c r="C137" s="8" t="s">
        <v>122</v>
      </c>
      <c r="D137" s="10">
        <v>45999</v>
      </c>
      <c r="E137" s="8" t="s">
        <v>169</v>
      </c>
      <c r="F137" s="8" t="s">
        <v>21</v>
      </c>
      <c r="G137" s="8">
        <v>50</v>
      </c>
      <c r="H137" s="8">
        <v>0</v>
      </c>
      <c r="I137" s="8">
        <v>-50</v>
      </c>
      <c r="J137" s="8">
        <v>0</v>
      </c>
      <c r="K137" s="8" t="s">
        <v>22</v>
      </c>
      <c r="L137" s="8" t="s">
        <v>5</v>
      </c>
      <c r="M137" s="8">
        <v>2025</v>
      </c>
      <c r="N137" s="8">
        <v>12</v>
      </c>
      <c r="O137" s="8"/>
    </row>
    <row r="138" spans="2:15" x14ac:dyDescent="0.25">
      <c r="B138" s="8">
        <v>130</v>
      </c>
      <c r="C138" s="8" t="s">
        <v>122</v>
      </c>
      <c r="D138" s="10">
        <v>45999</v>
      </c>
      <c r="E138" s="8" t="s">
        <v>191</v>
      </c>
      <c r="F138" s="8" t="s">
        <v>21</v>
      </c>
      <c r="G138" s="8">
        <v>90</v>
      </c>
      <c r="H138" s="8">
        <v>0</v>
      </c>
      <c r="I138" s="8">
        <v>-90</v>
      </c>
      <c r="J138" s="8">
        <v>0</v>
      </c>
      <c r="K138" s="8" t="s">
        <v>22</v>
      </c>
      <c r="L138" s="8" t="s">
        <v>5</v>
      </c>
      <c r="M138" s="8">
        <v>2025</v>
      </c>
      <c r="N138" s="8">
        <v>12</v>
      </c>
      <c r="O138" s="8"/>
    </row>
    <row r="139" spans="2:15" x14ac:dyDescent="0.25">
      <c r="B139" s="8">
        <v>131</v>
      </c>
      <c r="C139" s="8" t="s">
        <v>123</v>
      </c>
      <c r="D139" s="10">
        <v>45999</v>
      </c>
      <c r="E139" s="8" t="s">
        <v>141</v>
      </c>
      <c r="F139" s="8" t="s">
        <v>21</v>
      </c>
      <c r="G139" s="8">
        <v>190</v>
      </c>
      <c r="H139" s="8">
        <v>0</v>
      </c>
      <c r="I139" s="8">
        <v>-190</v>
      </c>
      <c r="J139" s="8">
        <v>0</v>
      </c>
      <c r="K139" s="8" t="s">
        <v>22</v>
      </c>
      <c r="L139" s="8" t="s">
        <v>5</v>
      </c>
      <c r="M139" s="8">
        <v>2025</v>
      </c>
      <c r="N139" s="8">
        <v>12</v>
      </c>
      <c r="O139" s="8"/>
    </row>
    <row r="140" spans="2:15" x14ac:dyDescent="0.25">
      <c r="B140" s="8">
        <v>132</v>
      </c>
      <c r="C140" s="8" t="s">
        <v>122</v>
      </c>
      <c r="D140" s="10">
        <v>46000</v>
      </c>
      <c r="E140" s="8" t="s">
        <v>192</v>
      </c>
      <c r="F140" s="8" t="s">
        <v>21</v>
      </c>
      <c r="G140" s="8">
        <v>90</v>
      </c>
      <c r="H140" s="8">
        <v>0</v>
      </c>
      <c r="I140" s="8">
        <v>-90</v>
      </c>
      <c r="J140" s="8">
        <v>0</v>
      </c>
      <c r="K140" s="8" t="s">
        <v>22</v>
      </c>
      <c r="L140" s="8" t="s">
        <v>5</v>
      </c>
      <c r="M140" s="8">
        <v>2025</v>
      </c>
      <c r="N140" s="8">
        <v>12</v>
      </c>
      <c r="O140" s="8"/>
    </row>
    <row r="141" spans="2:15" x14ac:dyDescent="0.25">
      <c r="B141" s="8">
        <v>133</v>
      </c>
      <c r="C141" s="8" t="s">
        <v>122</v>
      </c>
      <c r="D141" s="10">
        <v>46000</v>
      </c>
      <c r="E141" s="8" t="s">
        <v>197</v>
      </c>
      <c r="F141" s="8" t="s">
        <v>21</v>
      </c>
      <c r="G141" s="8">
        <v>200</v>
      </c>
      <c r="H141" s="8">
        <v>0</v>
      </c>
      <c r="I141" s="8">
        <v>-200</v>
      </c>
      <c r="J141" s="8">
        <v>0</v>
      </c>
      <c r="K141" s="8" t="s">
        <v>22</v>
      </c>
      <c r="L141" s="8" t="s">
        <v>5</v>
      </c>
      <c r="M141" s="8">
        <v>2025</v>
      </c>
      <c r="N141" s="8">
        <v>12</v>
      </c>
      <c r="O141" s="8"/>
    </row>
    <row r="142" spans="2:15" x14ac:dyDescent="0.25">
      <c r="B142" s="8">
        <v>134</v>
      </c>
      <c r="C142" s="8" t="s">
        <v>122</v>
      </c>
      <c r="D142" s="10">
        <v>46000</v>
      </c>
      <c r="E142" s="8" t="s">
        <v>215</v>
      </c>
      <c r="F142" s="8" t="s">
        <v>37</v>
      </c>
      <c r="G142" s="8">
        <v>199</v>
      </c>
      <c r="H142" s="8">
        <v>0</v>
      </c>
      <c r="I142" s="8">
        <v>-199</v>
      </c>
      <c r="J142" s="8">
        <v>0</v>
      </c>
      <c r="K142" s="8" t="s">
        <v>38</v>
      </c>
      <c r="L142" s="8" t="s">
        <v>5</v>
      </c>
      <c r="M142" s="8">
        <v>2025</v>
      </c>
      <c r="N142" s="8">
        <v>12</v>
      </c>
      <c r="O142" s="8"/>
    </row>
    <row r="143" spans="2:15" x14ac:dyDescent="0.25">
      <c r="B143" s="8">
        <v>135</v>
      </c>
      <c r="C143" s="8" t="s">
        <v>122</v>
      </c>
      <c r="D143" s="10">
        <v>46001</v>
      </c>
      <c r="E143" s="8" t="s">
        <v>193</v>
      </c>
      <c r="F143" s="8" t="s">
        <v>218</v>
      </c>
      <c r="G143" s="8">
        <v>352.82</v>
      </c>
      <c r="H143" s="8">
        <v>0</v>
      </c>
      <c r="I143" s="8">
        <v>-352.82</v>
      </c>
      <c r="J143" s="8">
        <v>0</v>
      </c>
      <c r="K143" s="8" t="s">
        <v>19</v>
      </c>
      <c r="L143" s="8" t="s">
        <v>5</v>
      </c>
      <c r="M143" s="8">
        <v>2025</v>
      </c>
      <c r="N143" s="8">
        <v>12</v>
      </c>
      <c r="O143" s="8"/>
    </row>
    <row r="144" spans="2:15" x14ac:dyDescent="0.25">
      <c r="B144" s="8">
        <v>136</v>
      </c>
      <c r="C144" s="8" t="s">
        <v>122</v>
      </c>
      <c r="D144" s="10">
        <v>46001</v>
      </c>
      <c r="E144" s="8" t="s">
        <v>194</v>
      </c>
      <c r="F144" s="8" t="s">
        <v>3</v>
      </c>
      <c r="G144" s="8">
        <v>15500</v>
      </c>
      <c r="H144" s="8">
        <v>0</v>
      </c>
      <c r="I144" s="8">
        <v>-15500</v>
      </c>
      <c r="J144" s="8">
        <v>0</v>
      </c>
      <c r="K144" s="8" t="s">
        <v>4</v>
      </c>
      <c r="L144" s="8" t="s">
        <v>5</v>
      </c>
      <c r="M144" s="8">
        <v>2025</v>
      </c>
      <c r="N144" s="8">
        <v>12</v>
      </c>
      <c r="O144" s="8"/>
    </row>
    <row r="145" spans="2:15" x14ac:dyDescent="0.25">
      <c r="B145" s="8">
        <v>137</v>
      </c>
      <c r="C145" s="8" t="s">
        <v>122</v>
      </c>
      <c r="D145" s="10">
        <v>46001</v>
      </c>
      <c r="E145" s="8" t="s">
        <v>195</v>
      </c>
      <c r="F145" s="8" t="s">
        <v>6</v>
      </c>
      <c r="G145" s="8">
        <v>837</v>
      </c>
      <c r="H145" s="8">
        <v>0</v>
      </c>
      <c r="I145" s="8">
        <v>-837</v>
      </c>
      <c r="J145" s="8">
        <v>0</v>
      </c>
      <c r="K145" s="8" t="s">
        <v>4</v>
      </c>
      <c r="L145" s="8" t="s">
        <v>5</v>
      </c>
      <c r="M145" s="8">
        <v>2025</v>
      </c>
      <c r="N145" s="8">
        <v>12</v>
      </c>
      <c r="O145" s="8"/>
    </row>
    <row r="146" spans="2:15" x14ac:dyDescent="0.25">
      <c r="B146" s="8">
        <v>138</v>
      </c>
      <c r="C146" s="8" t="s">
        <v>122</v>
      </c>
      <c r="D146" s="10">
        <v>46001</v>
      </c>
      <c r="E146" s="8" t="s">
        <v>196</v>
      </c>
      <c r="F146" s="8" t="s">
        <v>81</v>
      </c>
      <c r="G146" s="8">
        <v>250</v>
      </c>
      <c r="H146" s="8">
        <v>0</v>
      </c>
      <c r="I146" s="8">
        <v>-250</v>
      </c>
      <c r="J146" s="8">
        <v>0</v>
      </c>
      <c r="K146" s="8" t="s">
        <v>4</v>
      </c>
      <c r="L146" s="8" t="s">
        <v>5</v>
      </c>
      <c r="M146" s="8">
        <v>2025</v>
      </c>
      <c r="N146" s="8">
        <v>12</v>
      </c>
      <c r="O146" s="8"/>
    </row>
    <row r="147" spans="2:15" x14ac:dyDescent="0.25">
      <c r="B147" s="8">
        <v>139</v>
      </c>
      <c r="C147" s="8" t="s">
        <v>122</v>
      </c>
      <c r="D147" s="10">
        <v>46003</v>
      </c>
      <c r="E147" s="8" t="s">
        <v>198</v>
      </c>
      <c r="F147" s="8" t="s">
        <v>24</v>
      </c>
      <c r="G147" s="8">
        <v>921</v>
      </c>
      <c r="H147" s="8">
        <v>0</v>
      </c>
      <c r="I147" s="8">
        <v>-921</v>
      </c>
      <c r="J147" s="8">
        <v>0</v>
      </c>
      <c r="K147" s="8" t="s">
        <v>22</v>
      </c>
      <c r="L147" s="8" t="s">
        <v>5</v>
      </c>
      <c r="M147" s="8">
        <v>2025</v>
      </c>
      <c r="N147" s="8">
        <v>12</v>
      </c>
      <c r="O147" s="8"/>
    </row>
    <row r="148" spans="2:15" x14ac:dyDescent="0.25">
      <c r="B148" s="8">
        <v>140</v>
      </c>
      <c r="C148" s="8" t="s">
        <v>122</v>
      </c>
      <c r="D148" s="10">
        <v>46003</v>
      </c>
      <c r="E148" s="8" t="s">
        <v>199</v>
      </c>
      <c r="F148" s="8" t="s">
        <v>10</v>
      </c>
      <c r="G148" s="8">
        <v>420</v>
      </c>
      <c r="H148" s="8">
        <v>0</v>
      </c>
      <c r="I148" s="8">
        <v>-420</v>
      </c>
      <c r="J148" s="8">
        <v>0</v>
      </c>
      <c r="K148" s="8" t="s">
        <v>9</v>
      </c>
      <c r="L148" s="8" t="s">
        <v>5</v>
      </c>
      <c r="M148" s="8">
        <v>2025</v>
      </c>
      <c r="N148" s="8">
        <v>12</v>
      </c>
      <c r="O148" s="8"/>
    </row>
    <row r="149" spans="2:15" x14ac:dyDescent="0.25">
      <c r="B149" s="8">
        <v>141</v>
      </c>
      <c r="C149" s="8" t="s">
        <v>122</v>
      </c>
      <c r="D149" s="10">
        <v>46003</v>
      </c>
      <c r="E149" s="8" t="s">
        <v>158</v>
      </c>
      <c r="F149" s="8" t="s">
        <v>8</v>
      </c>
      <c r="G149" s="8">
        <v>200</v>
      </c>
      <c r="H149" s="8">
        <v>0</v>
      </c>
      <c r="I149" s="8">
        <v>-200</v>
      </c>
      <c r="J149" s="8">
        <v>0</v>
      </c>
      <c r="K149" s="8" t="s">
        <v>9</v>
      </c>
      <c r="L149" s="8" t="s">
        <v>5</v>
      </c>
      <c r="M149" s="8">
        <v>2025</v>
      </c>
      <c r="N149" s="8">
        <v>12</v>
      </c>
      <c r="O149" s="8"/>
    </row>
    <row r="150" spans="2:15" x14ac:dyDescent="0.25">
      <c r="B150" s="8">
        <v>142</v>
      </c>
      <c r="C150" s="8" t="s">
        <v>122</v>
      </c>
      <c r="D150" s="10">
        <v>46004</v>
      </c>
      <c r="E150" s="8" t="s">
        <v>138</v>
      </c>
      <c r="F150" s="8" t="s">
        <v>23</v>
      </c>
      <c r="G150" s="8">
        <v>50</v>
      </c>
      <c r="H150" s="8">
        <v>0</v>
      </c>
      <c r="I150" s="8">
        <v>-50</v>
      </c>
      <c r="J150" s="8">
        <v>0</v>
      </c>
      <c r="K150" s="8" t="s">
        <v>22</v>
      </c>
      <c r="L150" s="8" t="s">
        <v>5</v>
      </c>
      <c r="M150" s="8">
        <v>2025</v>
      </c>
      <c r="N150" s="8">
        <v>12</v>
      </c>
      <c r="O150" s="8"/>
    </row>
    <row r="151" spans="2:15" x14ac:dyDescent="0.25">
      <c r="B151" s="8">
        <v>143</v>
      </c>
      <c r="C151" s="8" t="s">
        <v>122</v>
      </c>
      <c r="D151" s="10">
        <v>46005</v>
      </c>
      <c r="E151" s="8" t="s">
        <v>147</v>
      </c>
      <c r="F151" s="8" t="s">
        <v>25</v>
      </c>
      <c r="G151" s="8">
        <v>25</v>
      </c>
      <c r="H151" s="8">
        <v>0</v>
      </c>
      <c r="I151" s="8">
        <v>-25</v>
      </c>
      <c r="J151" s="8">
        <v>0</v>
      </c>
      <c r="K151" s="8" t="s">
        <v>22</v>
      </c>
      <c r="L151" s="8" t="s">
        <v>5</v>
      </c>
      <c r="M151" s="8">
        <v>2025</v>
      </c>
      <c r="N151" s="8">
        <v>12</v>
      </c>
      <c r="O151" s="8"/>
    </row>
    <row r="152" spans="2:15" x14ac:dyDescent="0.25">
      <c r="B152" s="8">
        <v>144</v>
      </c>
      <c r="C152" s="8" t="s">
        <v>122</v>
      </c>
      <c r="D152" s="10">
        <v>46005</v>
      </c>
      <c r="E152" s="8" t="s">
        <v>214</v>
      </c>
      <c r="F152" s="8" t="s">
        <v>36</v>
      </c>
      <c r="G152" s="8">
        <v>37500</v>
      </c>
      <c r="H152" s="8">
        <v>0</v>
      </c>
      <c r="I152" s="8">
        <v>-37500</v>
      </c>
      <c r="J152" s="8">
        <v>0</v>
      </c>
      <c r="K152" s="8" t="s">
        <v>34</v>
      </c>
      <c r="L152" s="8" t="s">
        <v>35</v>
      </c>
      <c r="M152" s="8">
        <v>2025</v>
      </c>
      <c r="N152" s="8">
        <v>12</v>
      </c>
      <c r="O152" s="8"/>
    </row>
    <row r="153" spans="2:15" x14ac:dyDescent="0.25">
      <c r="B153" s="8">
        <v>145</v>
      </c>
      <c r="C153" s="8" t="s">
        <v>122</v>
      </c>
      <c r="D153" s="10">
        <v>46006</v>
      </c>
      <c r="E153" s="8" t="s">
        <v>200</v>
      </c>
      <c r="F153" s="8" t="s">
        <v>17</v>
      </c>
      <c r="G153" s="8">
        <v>370</v>
      </c>
      <c r="H153" s="8">
        <v>0</v>
      </c>
      <c r="I153" s="8">
        <v>-370</v>
      </c>
      <c r="J153" s="8">
        <v>0</v>
      </c>
      <c r="K153" s="8" t="s">
        <v>16</v>
      </c>
      <c r="L153" s="8" t="s">
        <v>5</v>
      </c>
      <c r="M153" s="8">
        <v>2025</v>
      </c>
      <c r="N153" s="8">
        <v>12</v>
      </c>
      <c r="O153" s="8"/>
    </row>
    <row r="154" spans="2:15" x14ac:dyDescent="0.25">
      <c r="B154" s="8">
        <v>146</v>
      </c>
      <c r="C154" s="8" t="s">
        <v>123</v>
      </c>
      <c r="D154" s="10">
        <v>46006</v>
      </c>
      <c r="E154" s="8" t="s">
        <v>158</v>
      </c>
      <c r="F154" s="8" t="s">
        <v>8</v>
      </c>
      <c r="G154" s="8">
        <v>150</v>
      </c>
      <c r="H154" s="8">
        <v>0</v>
      </c>
      <c r="I154" s="8">
        <v>-150</v>
      </c>
      <c r="J154" s="8">
        <v>0</v>
      </c>
      <c r="K154" s="8" t="s">
        <v>9</v>
      </c>
      <c r="L154" s="8" t="s">
        <v>5</v>
      </c>
      <c r="M154" s="8">
        <v>2025</v>
      </c>
      <c r="N154" s="8">
        <v>12</v>
      </c>
      <c r="O154" s="8"/>
    </row>
    <row r="155" spans="2:15" x14ac:dyDescent="0.25">
      <c r="B155" s="8">
        <v>147</v>
      </c>
      <c r="C155" s="8" t="s">
        <v>123</v>
      </c>
      <c r="D155" s="10">
        <v>46006</v>
      </c>
      <c r="E155" s="8" t="s">
        <v>204</v>
      </c>
      <c r="F155" s="8" t="s">
        <v>27</v>
      </c>
      <c r="G155" s="8">
        <v>20</v>
      </c>
      <c r="H155" s="8">
        <v>0</v>
      </c>
      <c r="I155" s="8">
        <v>-20</v>
      </c>
      <c r="J155" s="8">
        <v>0</v>
      </c>
      <c r="K155" s="8" t="s">
        <v>28</v>
      </c>
      <c r="L155" s="8" t="s">
        <v>5</v>
      </c>
      <c r="M155" s="8">
        <v>2025</v>
      </c>
      <c r="N155" s="8">
        <v>12</v>
      </c>
      <c r="O155" s="8"/>
    </row>
    <row r="156" spans="2:15" x14ac:dyDescent="0.25">
      <c r="B156" s="8">
        <v>148</v>
      </c>
      <c r="C156" s="8" t="s">
        <v>123</v>
      </c>
      <c r="D156" s="10">
        <v>46006</v>
      </c>
      <c r="E156" s="8" t="s">
        <v>205</v>
      </c>
      <c r="F156" s="8" t="s">
        <v>25</v>
      </c>
      <c r="G156" s="8">
        <v>100</v>
      </c>
      <c r="H156" s="8">
        <v>0</v>
      </c>
      <c r="I156" s="8">
        <v>-100</v>
      </c>
      <c r="J156" s="8">
        <v>0</v>
      </c>
      <c r="K156" s="8" t="s">
        <v>22</v>
      </c>
      <c r="L156" s="8" t="s">
        <v>5</v>
      </c>
      <c r="M156" s="8">
        <v>2025</v>
      </c>
      <c r="N156" s="8">
        <v>12</v>
      </c>
      <c r="O156" s="8"/>
    </row>
    <row r="157" spans="2:15" x14ac:dyDescent="0.25">
      <c r="B157" s="8">
        <v>149</v>
      </c>
      <c r="C157" s="8" t="s">
        <v>123</v>
      </c>
      <c r="D157" s="10">
        <v>46006</v>
      </c>
      <c r="E157" s="8" t="s">
        <v>216</v>
      </c>
      <c r="F157" s="8" t="s">
        <v>21</v>
      </c>
      <c r="G157" s="8">
        <v>450</v>
      </c>
      <c r="H157" s="8">
        <v>0</v>
      </c>
      <c r="I157" s="8">
        <v>-450</v>
      </c>
      <c r="J157" s="8">
        <v>0</v>
      </c>
      <c r="K157" s="8" t="s">
        <v>22</v>
      </c>
      <c r="L157" s="8" t="s">
        <v>5</v>
      </c>
      <c r="M157" s="8">
        <v>2025</v>
      </c>
      <c r="N157" s="8">
        <v>12</v>
      </c>
      <c r="O157" s="8"/>
    </row>
    <row r="158" spans="2:15" x14ac:dyDescent="0.25">
      <c r="B158" s="8">
        <v>150</v>
      </c>
      <c r="C158" s="8" t="s">
        <v>123</v>
      </c>
      <c r="D158" s="10">
        <v>46006</v>
      </c>
      <c r="E158" s="8" t="s">
        <v>217</v>
      </c>
      <c r="F158" s="8" t="s">
        <v>45</v>
      </c>
      <c r="G158" s="8">
        <v>0</v>
      </c>
      <c r="H158" s="8">
        <v>1000</v>
      </c>
      <c r="I158" s="8">
        <v>1000</v>
      </c>
      <c r="J158" s="8">
        <v>0</v>
      </c>
      <c r="K158" s="8" t="s">
        <v>46</v>
      </c>
      <c r="L158" s="8" t="s">
        <v>44</v>
      </c>
      <c r="M158" s="8">
        <v>2025</v>
      </c>
      <c r="N158" s="8">
        <v>12</v>
      </c>
      <c r="O158" s="8"/>
    </row>
    <row r="159" spans="2:15" x14ac:dyDescent="0.25">
      <c r="B159" s="8">
        <v>151</v>
      </c>
      <c r="C159" s="8" t="s">
        <v>122</v>
      </c>
      <c r="D159" s="10">
        <v>46007</v>
      </c>
      <c r="E159" s="8" t="s">
        <v>201</v>
      </c>
      <c r="F159" s="8" t="s">
        <v>10</v>
      </c>
      <c r="G159" s="8">
        <v>76</v>
      </c>
      <c r="H159" s="8">
        <v>0</v>
      </c>
      <c r="I159" s="8">
        <v>-76</v>
      </c>
      <c r="J159" s="8">
        <v>0</v>
      </c>
      <c r="K159" s="8" t="s">
        <v>9</v>
      </c>
      <c r="L159" s="8" t="s">
        <v>5</v>
      </c>
      <c r="M159" s="8">
        <v>2025</v>
      </c>
      <c r="N159" s="8">
        <v>12</v>
      </c>
      <c r="O159" s="8"/>
    </row>
    <row r="160" spans="2:15" x14ac:dyDescent="0.25">
      <c r="B160" s="8">
        <v>152</v>
      </c>
      <c r="C160" s="8" t="s">
        <v>123</v>
      </c>
      <c r="D160" s="10">
        <v>46007</v>
      </c>
      <c r="E160" s="8" t="s">
        <v>206</v>
      </c>
      <c r="F160" s="8" t="s">
        <v>10</v>
      </c>
      <c r="G160" s="8">
        <v>400</v>
      </c>
      <c r="H160" s="8">
        <v>0</v>
      </c>
      <c r="I160" s="8">
        <v>-400</v>
      </c>
      <c r="J160" s="8">
        <v>0</v>
      </c>
      <c r="K160" s="8" t="s">
        <v>9</v>
      </c>
      <c r="L160" s="8" t="s">
        <v>5</v>
      </c>
      <c r="M160" s="8">
        <v>2025</v>
      </c>
      <c r="N160" s="8">
        <v>12</v>
      </c>
      <c r="O160" s="8"/>
    </row>
    <row r="161" spans="2:15" x14ac:dyDescent="0.25">
      <c r="B161" s="8">
        <v>153</v>
      </c>
      <c r="C161" s="8" t="s">
        <v>122</v>
      </c>
      <c r="D161" s="10">
        <v>46008</v>
      </c>
      <c r="E161" s="8" t="s">
        <v>202</v>
      </c>
      <c r="F161" s="8" t="s">
        <v>21</v>
      </c>
      <c r="G161" s="8">
        <v>51</v>
      </c>
      <c r="H161" s="8">
        <v>0</v>
      </c>
      <c r="I161" s="8">
        <v>-51</v>
      </c>
      <c r="J161" s="8">
        <v>0</v>
      </c>
      <c r="K161" s="8" t="s">
        <v>22</v>
      </c>
      <c r="L161" s="8" t="s">
        <v>5</v>
      </c>
      <c r="M161" s="8">
        <v>2025</v>
      </c>
      <c r="N161" s="8">
        <v>12</v>
      </c>
      <c r="O161" s="8"/>
    </row>
    <row r="162" spans="2:15" x14ac:dyDescent="0.25">
      <c r="B162" s="8">
        <v>154</v>
      </c>
      <c r="C162" s="8" t="s">
        <v>122</v>
      </c>
      <c r="D162" s="10">
        <v>46008</v>
      </c>
      <c r="E162" s="8" t="s">
        <v>203</v>
      </c>
      <c r="F162" s="8" t="s">
        <v>25</v>
      </c>
      <c r="G162" s="8">
        <v>50</v>
      </c>
      <c r="H162" s="8">
        <v>0</v>
      </c>
      <c r="I162" s="8">
        <v>-50</v>
      </c>
      <c r="J162" s="8">
        <v>0</v>
      </c>
      <c r="K162" s="8" t="s">
        <v>22</v>
      </c>
      <c r="L162" s="8" t="s">
        <v>5</v>
      </c>
      <c r="M162" s="8">
        <v>2025</v>
      </c>
      <c r="N162" s="8">
        <v>12</v>
      </c>
      <c r="O162" s="8"/>
    </row>
    <row r="163" spans="2:15" x14ac:dyDescent="0.25">
      <c r="B163" s="8">
        <v>155</v>
      </c>
      <c r="C163" s="8" t="s">
        <v>123</v>
      </c>
      <c r="D163" s="10">
        <v>46008</v>
      </c>
      <c r="E163" s="8" t="s">
        <v>207</v>
      </c>
      <c r="F163" s="8" t="s">
        <v>25</v>
      </c>
      <c r="G163" s="8">
        <v>606</v>
      </c>
      <c r="H163" s="8">
        <v>0</v>
      </c>
      <c r="I163" s="8">
        <v>-606</v>
      </c>
      <c r="J163" s="8">
        <v>0</v>
      </c>
      <c r="K163" s="8" t="s">
        <v>22</v>
      </c>
      <c r="L163" s="8" t="s">
        <v>5</v>
      </c>
      <c r="M163" s="8">
        <v>2025</v>
      </c>
      <c r="N163" s="8">
        <v>12</v>
      </c>
      <c r="O163" s="8"/>
    </row>
    <row r="164" spans="2:15" x14ac:dyDescent="0.25">
      <c r="B164" s="8">
        <v>156</v>
      </c>
      <c r="C164" s="8" t="s">
        <v>122</v>
      </c>
      <c r="D164" s="10">
        <v>46009</v>
      </c>
      <c r="E164" s="8" t="s">
        <v>169</v>
      </c>
      <c r="F164" s="8" t="s">
        <v>21</v>
      </c>
      <c r="G164" s="8">
        <v>20</v>
      </c>
      <c r="H164" s="8">
        <v>0</v>
      </c>
      <c r="I164" s="8">
        <v>-20</v>
      </c>
      <c r="J164" s="8">
        <v>0</v>
      </c>
      <c r="K164" s="8" t="s">
        <v>22</v>
      </c>
      <c r="L164" s="8" t="s">
        <v>5</v>
      </c>
      <c r="M164" s="8">
        <v>2025</v>
      </c>
      <c r="N164" s="8">
        <v>12</v>
      </c>
      <c r="O164" s="8"/>
    </row>
    <row r="165" spans="2:15" x14ac:dyDescent="0.25">
      <c r="B165" s="8">
        <v>157</v>
      </c>
      <c r="C165" s="8" t="s">
        <v>122</v>
      </c>
      <c r="D165" s="10">
        <v>46010</v>
      </c>
      <c r="E165" s="8" t="s">
        <v>158</v>
      </c>
      <c r="F165" s="8" t="s">
        <v>8</v>
      </c>
      <c r="G165" s="8">
        <v>200</v>
      </c>
      <c r="H165" s="8">
        <v>0</v>
      </c>
      <c r="I165" s="8">
        <v>-200</v>
      </c>
      <c r="J165" s="8">
        <v>0</v>
      </c>
      <c r="K165" s="8" t="s">
        <v>9</v>
      </c>
      <c r="L165" s="8" t="s">
        <v>5</v>
      </c>
      <c r="M165" s="8">
        <v>2025</v>
      </c>
      <c r="N165" s="8">
        <v>12</v>
      </c>
      <c r="O165" s="8"/>
    </row>
    <row r="166" spans="2:15" x14ac:dyDescent="0.25">
      <c r="B166" s="8">
        <v>158</v>
      </c>
      <c r="C166" s="8" t="s">
        <v>122</v>
      </c>
      <c r="D166" s="10">
        <v>46010</v>
      </c>
      <c r="E166" s="8" t="s">
        <v>208</v>
      </c>
      <c r="F166" s="8" t="s">
        <v>25</v>
      </c>
      <c r="G166" s="8">
        <v>120</v>
      </c>
      <c r="H166" s="8">
        <v>0</v>
      </c>
      <c r="I166" s="8">
        <v>-120</v>
      </c>
      <c r="J166" s="8">
        <v>0</v>
      </c>
      <c r="K166" s="8" t="s">
        <v>22</v>
      </c>
      <c r="L166" s="8" t="s">
        <v>5</v>
      </c>
      <c r="M166" s="8">
        <v>2025</v>
      </c>
      <c r="N166" s="8">
        <v>12</v>
      </c>
      <c r="O166" s="8"/>
    </row>
    <row r="167" spans="2:15" x14ac:dyDescent="0.25">
      <c r="B167" s="8">
        <v>159</v>
      </c>
      <c r="C167" s="8" t="s">
        <v>123</v>
      </c>
      <c r="D167" s="10">
        <v>46010</v>
      </c>
      <c r="E167" s="8" t="s">
        <v>169</v>
      </c>
      <c r="F167" s="8" t="s">
        <v>21</v>
      </c>
      <c r="G167" s="8">
        <v>33</v>
      </c>
      <c r="H167" s="8">
        <v>0</v>
      </c>
      <c r="I167" s="8">
        <v>-33</v>
      </c>
      <c r="J167" s="8">
        <v>0</v>
      </c>
      <c r="K167" s="8" t="s">
        <v>22</v>
      </c>
      <c r="L167" s="8" t="s">
        <v>5</v>
      </c>
      <c r="M167" s="8">
        <v>2025</v>
      </c>
      <c r="N167" s="8">
        <v>12</v>
      </c>
      <c r="O167" s="8"/>
    </row>
    <row r="168" spans="2:15" x14ac:dyDescent="0.25">
      <c r="B168" s="8">
        <v>160</v>
      </c>
      <c r="C168" s="8" t="s">
        <v>123</v>
      </c>
      <c r="D168" s="10">
        <v>46011</v>
      </c>
      <c r="E168" s="8" t="s">
        <v>211</v>
      </c>
      <c r="F168" s="8" t="s">
        <v>21</v>
      </c>
      <c r="G168" s="8">
        <v>300</v>
      </c>
      <c r="H168" s="8">
        <v>0</v>
      </c>
      <c r="I168" s="8">
        <v>-300</v>
      </c>
      <c r="J168" s="8">
        <v>0</v>
      </c>
      <c r="K168" s="8" t="s">
        <v>22</v>
      </c>
      <c r="L168" s="8" t="s">
        <v>5</v>
      </c>
      <c r="M168" s="8">
        <v>2025</v>
      </c>
      <c r="N168" s="8">
        <v>12</v>
      </c>
      <c r="O168" s="8"/>
    </row>
    <row r="169" spans="2:15" x14ac:dyDescent="0.25">
      <c r="B169" s="8">
        <v>161</v>
      </c>
      <c r="C169" s="8" t="s">
        <v>122</v>
      </c>
      <c r="D169" s="10">
        <v>46012</v>
      </c>
      <c r="E169" s="8" t="s">
        <v>144</v>
      </c>
      <c r="F169" s="8" t="s">
        <v>21</v>
      </c>
      <c r="G169" s="8">
        <v>145</v>
      </c>
      <c r="H169" s="8">
        <v>0</v>
      </c>
      <c r="I169" s="8">
        <v>-145</v>
      </c>
      <c r="J169" s="8">
        <v>0</v>
      </c>
      <c r="K169" s="8" t="s">
        <v>22</v>
      </c>
      <c r="L169" s="8" t="s">
        <v>5</v>
      </c>
      <c r="M169" s="8">
        <v>2025</v>
      </c>
      <c r="N169" s="8">
        <v>12</v>
      </c>
      <c r="O169" s="8"/>
    </row>
    <row r="170" spans="2:15" x14ac:dyDescent="0.25">
      <c r="B170" s="8">
        <v>162</v>
      </c>
      <c r="C170" s="8" t="s">
        <v>123</v>
      </c>
      <c r="D170" s="10">
        <v>46012</v>
      </c>
      <c r="E170" s="8" t="s">
        <v>210</v>
      </c>
      <c r="F170" s="8" t="s">
        <v>21</v>
      </c>
      <c r="G170" s="8">
        <v>146</v>
      </c>
      <c r="H170" s="8">
        <v>0</v>
      </c>
      <c r="I170" s="8">
        <v>-146</v>
      </c>
      <c r="J170" s="8">
        <v>0</v>
      </c>
      <c r="K170" s="8" t="s">
        <v>22</v>
      </c>
      <c r="L170" s="8" t="s">
        <v>5</v>
      </c>
      <c r="M170" s="8">
        <v>2025</v>
      </c>
      <c r="N170" s="8">
        <v>12</v>
      </c>
      <c r="O170" s="8"/>
    </row>
    <row r="171" spans="2:15" x14ac:dyDescent="0.25">
      <c r="B171" s="8">
        <v>163</v>
      </c>
      <c r="C171" s="8" t="s">
        <v>123</v>
      </c>
      <c r="D171" s="10">
        <v>46012</v>
      </c>
      <c r="E171" s="8" t="s">
        <v>212</v>
      </c>
      <c r="F171" s="8" t="s">
        <v>10</v>
      </c>
      <c r="G171" s="8">
        <v>702</v>
      </c>
      <c r="H171" s="8">
        <v>0</v>
      </c>
      <c r="I171" s="8">
        <v>-702</v>
      </c>
      <c r="J171" s="8">
        <v>0</v>
      </c>
      <c r="K171" s="8" t="s">
        <v>9</v>
      </c>
      <c r="L171" s="8" t="s">
        <v>5</v>
      </c>
      <c r="M171" s="8">
        <v>2025</v>
      </c>
      <c r="N171" s="8">
        <v>12</v>
      </c>
      <c r="O171" s="8"/>
    </row>
    <row r="172" spans="2:15" x14ac:dyDescent="0.25">
      <c r="B172" s="8">
        <v>164</v>
      </c>
      <c r="C172" s="8" t="s">
        <v>123</v>
      </c>
      <c r="D172" s="10">
        <v>46012</v>
      </c>
      <c r="E172" s="8" t="s">
        <v>213</v>
      </c>
      <c r="F172" s="8" t="s">
        <v>10</v>
      </c>
      <c r="G172" s="8">
        <v>752</v>
      </c>
      <c r="H172" s="8">
        <v>0</v>
      </c>
      <c r="I172" s="8">
        <v>-752</v>
      </c>
      <c r="J172" s="8">
        <v>0</v>
      </c>
      <c r="K172" s="8" t="s">
        <v>9</v>
      </c>
      <c r="L172" s="8" t="s">
        <v>5</v>
      </c>
      <c r="M172" s="8">
        <v>2025</v>
      </c>
      <c r="N172" s="8">
        <v>12</v>
      </c>
      <c r="O172" s="8"/>
    </row>
    <row r="173" spans="2:15" x14ac:dyDescent="0.25">
      <c r="B173" s="8">
        <v>165</v>
      </c>
      <c r="C173" s="8" t="s">
        <v>123</v>
      </c>
      <c r="D173" s="10">
        <v>46013</v>
      </c>
      <c r="E173" s="8" t="s">
        <v>209</v>
      </c>
      <c r="F173" s="8" t="s">
        <v>25</v>
      </c>
      <c r="G173" s="8">
        <v>289</v>
      </c>
      <c r="H173" s="8">
        <v>0</v>
      </c>
      <c r="I173" s="8">
        <v>-289</v>
      </c>
      <c r="J173" s="8">
        <v>0</v>
      </c>
      <c r="K173" s="8" t="s">
        <v>22</v>
      </c>
      <c r="L173" s="8" t="s">
        <v>5</v>
      </c>
      <c r="M173" s="8">
        <v>2025</v>
      </c>
      <c r="N173" s="8">
        <v>12</v>
      </c>
      <c r="O173" s="8"/>
    </row>
    <row r="174" spans="2:15" x14ac:dyDescent="0.25">
      <c r="B174" s="8">
        <v>166</v>
      </c>
      <c r="C174" s="8" t="s">
        <v>122</v>
      </c>
      <c r="D174" s="10">
        <v>46014</v>
      </c>
      <c r="E174" s="8" t="s">
        <v>147</v>
      </c>
      <c r="F174" s="8" t="s">
        <v>25</v>
      </c>
      <c r="G174" s="8">
        <v>40</v>
      </c>
      <c r="H174" s="8">
        <v>0</v>
      </c>
      <c r="I174" s="8">
        <v>-40</v>
      </c>
      <c r="J174" s="8">
        <v>0</v>
      </c>
      <c r="K174" s="8" t="s">
        <v>22</v>
      </c>
      <c r="L174" s="8" t="s">
        <v>5</v>
      </c>
      <c r="M174" s="8">
        <v>2025</v>
      </c>
      <c r="N174" s="8">
        <v>12</v>
      </c>
      <c r="O174" s="8"/>
    </row>
    <row r="175" spans="2:15" x14ac:dyDescent="0.25">
      <c r="B175" s="8">
        <v>167</v>
      </c>
      <c r="C175" s="8" t="s">
        <v>122</v>
      </c>
      <c r="D175" s="10">
        <v>46015</v>
      </c>
      <c r="E175" s="8" t="s">
        <v>157</v>
      </c>
      <c r="F175" s="8" t="s">
        <v>218</v>
      </c>
      <c r="G175" s="8">
        <v>589</v>
      </c>
      <c r="H175" s="8">
        <v>0</v>
      </c>
      <c r="I175" s="8">
        <v>-589</v>
      </c>
      <c r="J175" s="8">
        <v>0</v>
      </c>
      <c r="K175" s="8" t="s">
        <v>19</v>
      </c>
      <c r="L175" s="8" t="s">
        <v>5</v>
      </c>
      <c r="M175" s="8">
        <v>2025</v>
      </c>
      <c r="N175" s="8">
        <v>12</v>
      </c>
      <c r="O175" s="8"/>
    </row>
    <row r="176" spans="2:15" x14ac:dyDescent="0.25">
      <c r="B176" s="8">
        <v>168</v>
      </c>
      <c r="C176" s="8" t="s">
        <v>122</v>
      </c>
      <c r="D176" s="10">
        <v>46015</v>
      </c>
      <c r="E176" s="8" t="s">
        <v>219</v>
      </c>
      <c r="F176" s="8" t="s">
        <v>25</v>
      </c>
      <c r="G176" s="8">
        <v>244</v>
      </c>
      <c r="H176" s="8">
        <v>0</v>
      </c>
      <c r="I176" s="8">
        <v>-244</v>
      </c>
      <c r="J176" s="8">
        <v>0</v>
      </c>
      <c r="K176" s="8" t="s">
        <v>22</v>
      </c>
      <c r="L176" s="8" t="s">
        <v>5</v>
      </c>
      <c r="M176" s="8">
        <v>2025</v>
      </c>
      <c r="N176" s="8">
        <v>12</v>
      </c>
      <c r="O176" s="8"/>
    </row>
    <row r="177" spans="2:15" x14ac:dyDescent="0.25">
      <c r="B177" s="8">
        <v>169</v>
      </c>
      <c r="C177" s="8" t="s">
        <v>122</v>
      </c>
      <c r="D177" s="10">
        <v>46015</v>
      </c>
      <c r="E177" s="8" t="s">
        <v>148</v>
      </c>
      <c r="F177" s="8" t="s">
        <v>21</v>
      </c>
      <c r="G177" s="8">
        <v>40</v>
      </c>
      <c r="H177" s="8">
        <v>0</v>
      </c>
      <c r="I177" s="8">
        <v>-40</v>
      </c>
      <c r="J177" s="8">
        <v>0</v>
      </c>
      <c r="K177" s="8" t="s">
        <v>22</v>
      </c>
      <c r="L177" s="8" t="s">
        <v>5</v>
      </c>
      <c r="M177" s="8">
        <v>2025</v>
      </c>
      <c r="N177" s="8">
        <v>12</v>
      </c>
      <c r="O177" s="8"/>
    </row>
    <row r="178" spans="2:15" x14ac:dyDescent="0.25">
      <c r="B178" s="8">
        <v>170</v>
      </c>
      <c r="C178" s="8" t="s">
        <v>122</v>
      </c>
      <c r="D178" s="10">
        <v>46016</v>
      </c>
      <c r="E178" s="8" t="s">
        <v>8</v>
      </c>
      <c r="F178" s="8" t="s">
        <v>8</v>
      </c>
      <c r="G178" s="8">
        <v>200</v>
      </c>
      <c r="H178" s="8">
        <v>0</v>
      </c>
      <c r="I178" s="8">
        <v>-200</v>
      </c>
      <c r="J178" s="8">
        <v>0</v>
      </c>
      <c r="K178" s="8" t="s">
        <v>9</v>
      </c>
      <c r="L178" s="8" t="s">
        <v>5</v>
      </c>
      <c r="M178" s="8">
        <v>2025</v>
      </c>
      <c r="N178" s="8">
        <v>12</v>
      </c>
      <c r="O178" s="8"/>
    </row>
    <row r="179" spans="2:15" x14ac:dyDescent="0.25">
      <c r="B179" s="8">
        <v>171</v>
      </c>
      <c r="C179" s="8" t="s">
        <v>122</v>
      </c>
      <c r="D179" s="10">
        <v>46016</v>
      </c>
      <c r="E179" s="8" t="s">
        <v>220</v>
      </c>
      <c r="F179" s="8" t="s">
        <v>25</v>
      </c>
      <c r="G179" s="8">
        <v>190</v>
      </c>
      <c r="H179" s="8">
        <v>0</v>
      </c>
      <c r="I179" s="8">
        <v>-190</v>
      </c>
      <c r="J179" s="8">
        <v>0</v>
      </c>
      <c r="K179" s="8" t="s">
        <v>22</v>
      </c>
      <c r="L179" s="8" t="s">
        <v>5</v>
      </c>
      <c r="M179" s="8">
        <v>2025</v>
      </c>
      <c r="N179" s="8">
        <v>12</v>
      </c>
      <c r="O179" s="8"/>
    </row>
    <row r="180" spans="2:15" x14ac:dyDescent="0.25">
      <c r="B180" s="8">
        <v>172</v>
      </c>
      <c r="C180" s="8" t="s">
        <v>122</v>
      </c>
      <c r="D180" s="10">
        <v>46016</v>
      </c>
      <c r="E180" s="8" t="s">
        <v>221</v>
      </c>
      <c r="F180" s="8" t="s">
        <v>21</v>
      </c>
      <c r="G180" s="8">
        <v>90</v>
      </c>
      <c r="H180" s="8">
        <v>0</v>
      </c>
      <c r="I180" s="8">
        <v>-90</v>
      </c>
      <c r="J180" s="8">
        <v>0</v>
      </c>
      <c r="K180" s="8" t="s">
        <v>22</v>
      </c>
      <c r="L180" s="8" t="s">
        <v>5</v>
      </c>
      <c r="M180" s="8">
        <v>2025</v>
      </c>
      <c r="N180" s="8">
        <v>12</v>
      </c>
      <c r="O180" s="8"/>
    </row>
    <row r="181" spans="2:15" x14ac:dyDescent="0.25">
      <c r="B181" s="8">
        <v>173</v>
      </c>
      <c r="C181" s="8" t="s">
        <v>123</v>
      </c>
      <c r="D181" s="10">
        <v>46016</v>
      </c>
      <c r="E181" s="8" t="s">
        <v>144</v>
      </c>
      <c r="F181" s="8" t="s">
        <v>21</v>
      </c>
      <c r="G181" s="8">
        <v>310</v>
      </c>
      <c r="H181" s="8">
        <v>0</v>
      </c>
      <c r="I181" s="8">
        <v>-310</v>
      </c>
      <c r="J181" s="8">
        <v>0</v>
      </c>
      <c r="K181" s="8" t="s">
        <v>22</v>
      </c>
      <c r="L181" s="8" t="s">
        <v>5</v>
      </c>
      <c r="M181" s="8">
        <v>2025</v>
      </c>
      <c r="N181" s="8">
        <v>12</v>
      </c>
      <c r="O181" s="8"/>
    </row>
    <row r="182" spans="2:15" x14ac:dyDescent="0.25">
      <c r="B182" s="8">
        <v>174</v>
      </c>
      <c r="C182" s="8" t="s">
        <v>123</v>
      </c>
      <c r="D182" s="10">
        <v>46016</v>
      </c>
      <c r="E182" s="8" t="s">
        <v>222</v>
      </c>
      <c r="F182" s="8" t="s">
        <v>21</v>
      </c>
      <c r="G182" s="8">
        <v>13</v>
      </c>
      <c r="H182" s="8">
        <v>0</v>
      </c>
      <c r="I182" s="8">
        <v>-13</v>
      </c>
      <c r="J182" s="8">
        <v>0</v>
      </c>
      <c r="K182" s="8" t="s">
        <v>22</v>
      </c>
      <c r="L182" s="8" t="s">
        <v>5</v>
      </c>
      <c r="M182" s="8">
        <v>2025</v>
      </c>
      <c r="N182" s="8">
        <v>12</v>
      </c>
      <c r="O182" s="8"/>
    </row>
    <row r="183" spans="2:15" x14ac:dyDescent="0.25">
      <c r="B183" s="8">
        <v>175</v>
      </c>
      <c r="C183" s="8" t="s">
        <v>123</v>
      </c>
      <c r="D183" s="10">
        <v>46016</v>
      </c>
      <c r="E183" s="8" t="s">
        <v>223</v>
      </c>
      <c r="F183" s="8" t="s">
        <v>21</v>
      </c>
      <c r="G183" s="8">
        <v>277</v>
      </c>
      <c r="H183" s="8">
        <v>0</v>
      </c>
      <c r="I183" s="8">
        <v>-277</v>
      </c>
      <c r="J183" s="8">
        <v>0</v>
      </c>
      <c r="K183" s="8" t="s">
        <v>22</v>
      </c>
      <c r="L183" s="8" t="s">
        <v>5</v>
      </c>
      <c r="M183" s="8">
        <v>2025</v>
      </c>
      <c r="N183" s="8">
        <v>12</v>
      </c>
      <c r="O183" s="8"/>
    </row>
    <row r="184" spans="2:15" x14ac:dyDescent="0.25">
      <c r="B184" s="8">
        <v>176</v>
      </c>
      <c r="C184" s="8" t="s">
        <v>123</v>
      </c>
      <c r="D184" s="10">
        <v>46016</v>
      </c>
      <c r="E184" s="8" t="s">
        <v>202</v>
      </c>
      <c r="F184" s="8" t="s">
        <v>21</v>
      </c>
      <c r="G184" s="8">
        <v>100</v>
      </c>
      <c r="H184" s="8">
        <v>0</v>
      </c>
      <c r="I184" s="8">
        <v>-100</v>
      </c>
      <c r="J184" s="8">
        <v>0</v>
      </c>
      <c r="K184" s="8" t="s">
        <v>22</v>
      </c>
      <c r="L184" s="8" t="s">
        <v>5</v>
      </c>
      <c r="M184" s="8">
        <v>2025</v>
      </c>
      <c r="N184" s="8">
        <v>12</v>
      </c>
      <c r="O184" s="8"/>
    </row>
    <row r="185" spans="2:15" x14ac:dyDescent="0.25">
      <c r="B185" s="8">
        <v>177</v>
      </c>
      <c r="C185" s="8" t="s">
        <v>122</v>
      </c>
      <c r="D185" s="10">
        <v>46017</v>
      </c>
      <c r="E185" s="8" t="s">
        <v>224</v>
      </c>
      <c r="F185" s="8" t="s">
        <v>21</v>
      </c>
      <c r="G185" s="8">
        <v>133</v>
      </c>
      <c r="H185" s="8">
        <v>0</v>
      </c>
      <c r="I185" s="8">
        <v>-133</v>
      </c>
      <c r="J185" s="8">
        <v>0</v>
      </c>
      <c r="K185" s="8" t="s">
        <v>22</v>
      </c>
      <c r="L185" s="8" t="s">
        <v>5</v>
      </c>
      <c r="M185" s="8">
        <v>2025</v>
      </c>
      <c r="N185" s="8">
        <v>12</v>
      </c>
      <c r="O185" s="8"/>
    </row>
    <row r="186" spans="2:15" x14ac:dyDescent="0.25">
      <c r="B186" s="8">
        <v>178</v>
      </c>
      <c r="C186" s="8" t="s">
        <v>122</v>
      </c>
      <c r="D186" s="10">
        <v>46017</v>
      </c>
      <c r="E186" s="8" t="s">
        <v>225</v>
      </c>
      <c r="F186" s="8" t="s">
        <v>21</v>
      </c>
      <c r="G186" s="8">
        <v>89</v>
      </c>
      <c r="H186" s="8">
        <v>0</v>
      </c>
      <c r="I186" s="8">
        <v>-89</v>
      </c>
      <c r="J186" s="8">
        <v>0</v>
      </c>
      <c r="K186" s="8" t="s">
        <v>22</v>
      </c>
      <c r="L186" s="8" t="s">
        <v>5</v>
      </c>
      <c r="M186" s="8">
        <v>2025</v>
      </c>
      <c r="N186" s="8">
        <v>12</v>
      </c>
      <c r="O186" s="8"/>
    </row>
    <row r="187" spans="2:15" x14ac:dyDescent="0.25">
      <c r="B187" s="8">
        <v>179</v>
      </c>
      <c r="C187" s="8" t="s">
        <v>122</v>
      </c>
      <c r="D187" s="10">
        <v>46018</v>
      </c>
      <c r="E187" s="8" t="s">
        <v>226</v>
      </c>
      <c r="F187" s="8" t="s">
        <v>21</v>
      </c>
      <c r="G187" s="8">
        <v>834</v>
      </c>
      <c r="H187" s="8">
        <v>0</v>
      </c>
      <c r="I187" s="8">
        <v>-834</v>
      </c>
      <c r="J187" s="8">
        <v>0</v>
      </c>
      <c r="K187" s="8" t="s">
        <v>22</v>
      </c>
      <c r="L187" s="8" t="s">
        <v>5</v>
      </c>
      <c r="M187" s="8">
        <v>2025</v>
      </c>
      <c r="N187" s="8">
        <v>12</v>
      </c>
      <c r="O187" s="8"/>
    </row>
    <row r="188" spans="2:15" x14ac:dyDescent="0.25">
      <c r="B188" s="8">
        <v>180</v>
      </c>
      <c r="C188" s="8" t="s">
        <v>122</v>
      </c>
      <c r="D188" s="10">
        <v>46019</v>
      </c>
      <c r="E188" s="8" t="s">
        <v>227</v>
      </c>
      <c r="F188" s="8" t="s">
        <v>25</v>
      </c>
      <c r="G188" s="8">
        <v>100</v>
      </c>
      <c r="H188" s="8">
        <v>0</v>
      </c>
      <c r="I188" s="8">
        <v>-100</v>
      </c>
      <c r="J188" s="8">
        <v>0</v>
      </c>
      <c r="K188" s="8" t="s">
        <v>22</v>
      </c>
      <c r="L188" s="8" t="s">
        <v>5</v>
      </c>
      <c r="M188" s="8">
        <v>2025</v>
      </c>
      <c r="N188" s="8">
        <v>12</v>
      </c>
      <c r="O188" s="8"/>
    </row>
    <row r="189" spans="2:15" x14ac:dyDescent="0.25">
      <c r="B189" s="8">
        <v>181</v>
      </c>
      <c r="C189" s="8" t="s">
        <v>122</v>
      </c>
      <c r="D189" s="10">
        <v>46019</v>
      </c>
      <c r="E189" s="8" t="s">
        <v>228</v>
      </c>
      <c r="F189" s="8" t="s">
        <v>25</v>
      </c>
      <c r="G189" s="8">
        <v>1221</v>
      </c>
      <c r="H189" s="8">
        <v>0</v>
      </c>
      <c r="I189" s="8">
        <v>-1221</v>
      </c>
      <c r="J189" s="8">
        <v>0</v>
      </c>
      <c r="K189" s="8" t="s">
        <v>22</v>
      </c>
      <c r="L189" s="8" t="s">
        <v>5</v>
      </c>
      <c r="M189" s="8">
        <v>2025</v>
      </c>
      <c r="N189" s="8">
        <v>12</v>
      </c>
      <c r="O189" s="8"/>
    </row>
    <row r="190" spans="2:15" x14ac:dyDescent="0.25">
      <c r="B190" s="8">
        <v>182</v>
      </c>
      <c r="C190" s="8" t="s">
        <v>122</v>
      </c>
      <c r="D190" s="10">
        <v>46020</v>
      </c>
      <c r="E190" s="8" t="s">
        <v>158</v>
      </c>
      <c r="F190" s="8" t="s">
        <v>8</v>
      </c>
      <c r="G190" s="8">
        <v>200</v>
      </c>
      <c r="H190" s="8">
        <v>0</v>
      </c>
      <c r="I190" s="8">
        <v>-200</v>
      </c>
      <c r="J190" s="8">
        <v>0</v>
      </c>
      <c r="K190" s="8" t="s">
        <v>9</v>
      </c>
      <c r="L190" s="8" t="s">
        <v>5</v>
      </c>
      <c r="M190" s="8">
        <v>2025</v>
      </c>
      <c r="N190" s="8">
        <v>12</v>
      </c>
      <c r="O190" s="8"/>
    </row>
    <row r="191" spans="2:15" x14ac:dyDescent="0.25">
      <c r="B191" s="8">
        <v>183</v>
      </c>
      <c r="C191" s="8" t="s">
        <v>122</v>
      </c>
      <c r="D191" s="10">
        <v>46020</v>
      </c>
      <c r="E191" s="8" t="s">
        <v>222</v>
      </c>
      <c r="F191" s="8" t="s">
        <v>21</v>
      </c>
      <c r="G191" s="8">
        <v>13</v>
      </c>
      <c r="H191" s="8">
        <v>0</v>
      </c>
      <c r="I191" s="8">
        <v>-13</v>
      </c>
      <c r="J191" s="8">
        <v>0</v>
      </c>
      <c r="K191" s="8" t="s">
        <v>22</v>
      </c>
      <c r="L191" s="8" t="s">
        <v>5</v>
      </c>
      <c r="M191" s="8">
        <v>2025</v>
      </c>
      <c r="N191" s="8">
        <v>12</v>
      </c>
      <c r="O191" s="8"/>
    </row>
    <row r="192" spans="2:15" x14ac:dyDescent="0.25">
      <c r="B192" s="8">
        <v>184</v>
      </c>
      <c r="C192" s="8" t="s">
        <v>122</v>
      </c>
      <c r="D192" s="10">
        <v>46021</v>
      </c>
      <c r="E192" s="8" t="s">
        <v>229</v>
      </c>
      <c r="F192" s="8" t="s">
        <v>24</v>
      </c>
      <c r="G192" s="8">
        <v>460</v>
      </c>
      <c r="H192" s="8">
        <v>0</v>
      </c>
      <c r="I192" s="8">
        <v>-460</v>
      </c>
      <c r="J192" s="8">
        <v>0</v>
      </c>
      <c r="K192" s="8" t="s">
        <v>22</v>
      </c>
      <c r="L192" s="8" t="s">
        <v>5</v>
      </c>
      <c r="M192" s="8">
        <v>2025</v>
      </c>
      <c r="N192" s="8">
        <v>12</v>
      </c>
      <c r="O192" s="8"/>
    </row>
    <row r="193" spans="2:15" x14ac:dyDescent="0.25">
      <c r="B193" s="8">
        <v>185</v>
      </c>
      <c r="C193" s="8" t="s">
        <v>122</v>
      </c>
      <c r="D193" s="10">
        <v>46022</v>
      </c>
      <c r="E193" s="8" t="s">
        <v>232</v>
      </c>
      <c r="F193" s="8" t="s">
        <v>45</v>
      </c>
      <c r="G193" s="8">
        <v>0</v>
      </c>
      <c r="H193" s="8">
        <v>3260</v>
      </c>
      <c r="I193" s="8">
        <v>3260</v>
      </c>
      <c r="J193" s="8">
        <v>0</v>
      </c>
      <c r="K193" s="8" t="s">
        <v>46</v>
      </c>
      <c r="L193" s="8" t="s">
        <v>44</v>
      </c>
      <c r="M193" s="8">
        <v>2025</v>
      </c>
      <c r="N193" s="8">
        <v>12</v>
      </c>
      <c r="O193" s="8"/>
    </row>
    <row r="194" spans="2:15" x14ac:dyDescent="0.25">
      <c r="B194" s="8">
        <v>186</v>
      </c>
      <c r="C194" s="8" t="s">
        <v>123</v>
      </c>
      <c r="D194" s="10">
        <v>46022</v>
      </c>
      <c r="E194" s="8" t="s">
        <v>147</v>
      </c>
      <c r="F194" s="8" t="s">
        <v>25</v>
      </c>
      <c r="G194" s="8">
        <v>30</v>
      </c>
      <c r="H194" s="8">
        <v>0</v>
      </c>
      <c r="I194" s="8">
        <v>-30</v>
      </c>
      <c r="J194" s="8">
        <v>0</v>
      </c>
      <c r="K194" s="8" t="s">
        <v>22</v>
      </c>
      <c r="L194" s="8" t="s">
        <v>5</v>
      </c>
      <c r="M194" s="8">
        <v>2025</v>
      </c>
      <c r="N194" s="8">
        <v>12</v>
      </c>
      <c r="O194" s="8"/>
    </row>
    <row r="195" spans="2:15" x14ac:dyDescent="0.25">
      <c r="B195" s="8">
        <v>187</v>
      </c>
      <c r="C195" s="8" t="s">
        <v>122</v>
      </c>
      <c r="D195" s="10">
        <v>46023</v>
      </c>
      <c r="E195" s="8" t="s">
        <v>244</v>
      </c>
      <c r="F195" s="8" t="s">
        <v>10</v>
      </c>
      <c r="G195" s="8">
        <v>286</v>
      </c>
      <c r="H195" s="8">
        <v>0</v>
      </c>
      <c r="I195" s="8">
        <v>-286</v>
      </c>
      <c r="J195" s="8">
        <v>0</v>
      </c>
      <c r="K195" s="8" t="s">
        <v>9</v>
      </c>
      <c r="L195" s="8" t="s">
        <v>5</v>
      </c>
      <c r="M195" s="8">
        <v>2026</v>
      </c>
      <c r="N195" s="8">
        <v>1</v>
      </c>
      <c r="O195" s="8"/>
    </row>
    <row r="196" spans="2:15" x14ac:dyDescent="0.25">
      <c r="B196" s="8">
        <v>188</v>
      </c>
      <c r="C196" s="8" t="s">
        <v>122</v>
      </c>
      <c r="D196" s="10">
        <v>46023</v>
      </c>
      <c r="E196" s="8" t="s">
        <v>245</v>
      </c>
      <c r="F196" s="8" t="s">
        <v>10</v>
      </c>
      <c r="G196" s="8">
        <v>270</v>
      </c>
      <c r="H196" s="8">
        <v>0</v>
      </c>
      <c r="I196" s="8">
        <v>-270</v>
      </c>
      <c r="J196" s="8">
        <v>0</v>
      </c>
      <c r="K196" s="8" t="s">
        <v>9</v>
      </c>
      <c r="L196" s="8" t="s">
        <v>5</v>
      </c>
      <c r="M196" s="8">
        <v>2026</v>
      </c>
      <c r="N196" s="8">
        <v>1</v>
      </c>
      <c r="O196" s="8"/>
    </row>
    <row r="197" spans="2:15" x14ac:dyDescent="0.25">
      <c r="B197" s="8">
        <v>189</v>
      </c>
      <c r="C197" s="8" t="s">
        <v>122</v>
      </c>
      <c r="D197" s="10">
        <v>46023</v>
      </c>
      <c r="E197" s="8" t="s">
        <v>227</v>
      </c>
      <c r="F197" s="8" t="s">
        <v>25</v>
      </c>
      <c r="G197" s="8">
        <v>120</v>
      </c>
      <c r="H197" s="8">
        <v>0</v>
      </c>
      <c r="I197" s="8">
        <v>-120</v>
      </c>
      <c r="J197" s="8">
        <v>0</v>
      </c>
      <c r="K197" s="8" t="s">
        <v>22</v>
      </c>
      <c r="L197" s="8" t="s">
        <v>5</v>
      </c>
      <c r="M197" s="8">
        <v>2026</v>
      </c>
      <c r="N197" s="8">
        <v>1</v>
      </c>
      <c r="O197" s="8"/>
    </row>
    <row r="198" spans="2:15" x14ac:dyDescent="0.25">
      <c r="B198" s="8">
        <v>190</v>
      </c>
      <c r="C198" s="8" t="s">
        <v>123</v>
      </c>
      <c r="D198" s="10">
        <v>46023</v>
      </c>
      <c r="E198" s="8" t="s">
        <v>130</v>
      </c>
      <c r="F198" s="8" t="s">
        <v>37</v>
      </c>
      <c r="G198" s="8">
        <v>38000</v>
      </c>
      <c r="H198" s="8">
        <v>0</v>
      </c>
      <c r="I198" s="8">
        <v>-38000</v>
      </c>
      <c r="J198" s="8">
        <v>0</v>
      </c>
      <c r="K198" s="8" t="s">
        <v>38</v>
      </c>
      <c r="L198" s="8" t="s">
        <v>5</v>
      </c>
      <c r="M198" s="8">
        <v>2026</v>
      </c>
      <c r="N198" s="8">
        <v>1</v>
      </c>
      <c r="O198" s="8"/>
    </row>
    <row r="199" spans="2:15" x14ac:dyDescent="0.25">
      <c r="B199" s="8">
        <v>191</v>
      </c>
      <c r="C199" s="8" t="s">
        <v>123</v>
      </c>
      <c r="D199" s="10">
        <v>46023</v>
      </c>
      <c r="E199" s="8" t="s">
        <v>203</v>
      </c>
      <c r="F199" s="8" t="s">
        <v>25</v>
      </c>
      <c r="G199" s="8">
        <v>350</v>
      </c>
      <c r="H199" s="8">
        <v>0</v>
      </c>
      <c r="I199" s="8">
        <v>-350</v>
      </c>
      <c r="J199" s="8">
        <v>0</v>
      </c>
      <c r="K199" s="8" t="s">
        <v>22</v>
      </c>
      <c r="L199" s="8" t="s">
        <v>5</v>
      </c>
      <c r="M199" s="8">
        <v>2026</v>
      </c>
      <c r="N199" s="8">
        <v>1</v>
      </c>
      <c r="O199" s="8"/>
    </row>
    <row r="200" spans="2:15" x14ac:dyDescent="0.25">
      <c r="B200" s="8">
        <v>192</v>
      </c>
      <c r="C200" s="8" t="s">
        <v>123</v>
      </c>
      <c r="D200" s="10">
        <v>46023</v>
      </c>
      <c r="E200" s="8" t="s">
        <v>230</v>
      </c>
      <c r="F200" s="8" t="s">
        <v>23</v>
      </c>
      <c r="G200" s="8">
        <v>776</v>
      </c>
      <c r="H200" s="8">
        <v>0</v>
      </c>
      <c r="I200" s="8">
        <v>-776</v>
      </c>
      <c r="J200" s="8">
        <v>0</v>
      </c>
      <c r="K200" s="8" t="s">
        <v>22</v>
      </c>
      <c r="L200" s="8" t="s">
        <v>5</v>
      </c>
      <c r="M200" s="8">
        <v>2026</v>
      </c>
      <c r="N200" s="8">
        <v>1</v>
      </c>
      <c r="O200" s="8"/>
    </row>
    <row r="201" spans="2:15" x14ac:dyDescent="0.25">
      <c r="B201" s="8">
        <v>193</v>
      </c>
      <c r="C201" s="8" t="s">
        <v>123</v>
      </c>
      <c r="D201" s="10">
        <v>46023</v>
      </c>
      <c r="E201" s="8" t="s">
        <v>42</v>
      </c>
      <c r="F201" s="8" t="s">
        <v>86</v>
      </c>
      <c r="G201" s="8">
        <v>0</v>
      </c>
      <c r="H201" s="8">
        <v>43720</v>
      </c>
      <c r="I201" s="8">
        <v>43720</v>
      </c>
      <c r="J201" s="8">
        <v>0</v>
      </c>
      <c r="K201" s="8" t="s">
        <v>43</v>
      </c>
      <c r="L201" s="8" t="s">
        <v>44</v>
      </c>
      <c r="M201" s="8">
        <v>2026</v>
      </c>
      <c r="N201" s="8">
        <v>1</v>
      </c>
      <c r="O201" s="8"/>
    </row>
    <row r="202" spans="2:15" x14ac:dyDescent="0.25">
      <c r="B202" s="8">
        <v>194</v>
      </c>
      <c r="C202" s="8" t="s">
        <v>123</v>
      </c>
      <c r="D202" s="10">
        <v>46023</v>
      </c>
      <c r="E202" s="8" t="s">
        <v>231</v>
      </c>
      <c r="F202" s="8" t="s">
        <v>10</v>
      </c>
      <c r="G202" s="8">
        <v>747</v>
      </c>
      <c r="H202" s="8">
        <v>0</v>
      </c>
      <c r="I202" s="8">
        <v>-747</v>
      </c>
      <c r="J202" s="8">
        <v>0</v>
      </c>
      <c r="K202" s="8" t="s">
        <v>9</v>
      </c>
      <c r="L202" s="8" t="s">
        <v>5</v>
      </c>
      <c r="M202" s="8">
        <v>2026</v>
      </c>
      <c r="N202" s="8">
        <v>1</v>
      </c>
      <c r="O202" s="8"/>
    </row>
    <row r="203" spans="2:15" x14ac:dyDescent="0.25">
      <c r="B203" s="8">
        <v>195</v>
      </c>
      <c r="C203" s="8" t="s">
        <v>123</v>
      </c>
      <c r="D203" s="10">
        <v>46023</v>
      </c>
      <c r="E203" s="8" t="s">
        <v>144</v>
      </c>
      <c r="F203" s="8" t="s">
        <v>21</v>
      </c>
      <c r="G203" s="8">
        <v>160</v>
      </c>
      <c r="H203" s="8">
        <v>0</v>
      </c>
      <c r="I203" s="8">
        <v>-160</v>
      </c>
      <c r="J203" s="8">
        <v>0</v>
      </c>
      <c r="K203" s="8" t="s">
        <v>22</v>
      </c>
      <c r="L203" s="8" t="s">
        <v>5</v>
      </c>
      <c r="M203" s="8">
        <v>2026</v>
      </c>
      <c r="N203" s="8">
        <v>1</v>
      </c>
      <c r="O203" s="8"/>
    </row>
    <row r="204" spans="2:15" x14ac:dyDescent="0.25">
      <c r="B204" s="8">
        <v>196</v>
      </c>
      <c r="C204" s="8" t="s">
        <v>122</v>
      </c>
      <c r="D204" s="10">
        <v>46024</v>
      </c>
      <c r="E204" s="8" t="s">
        <v>221</v>
      </c>
      <c r="F204" s="8" t="s">
        <v>21</v>
      </c>
      <c r="G204" s="8">
        <v>225</v>
      </c>
      <c r="H204" s="8">
        <v>0</v>
      </c>
      <c r="I204" s="8">
        <v>-225</v>
      </c>
      <c r="J204" s="8">
        <v>0</v>
      </c>
      <c r="K204" s="8" t="s">
        <v>22</v>
      </c>
      <c r="L204" s="8" t="s">
        <v>5</v>
      </c>
      <c r="M204" s="8">
        <v>2026</v>
      </c>
      <c r="N204" s="8">
        <v>1</v>
      </c>
      <c r="O204" s="8"/>
    </row>
    <row r="205" spans="2:15" x14ac:dyDescent="0.25">
      <c r="B205" s="8">
        <v>197</v>
      </c>
      <c r="C205" s="8" t="s">
        <v>122</v>
      </c>
      <c r="D205" s="10">
        <v>46025</v>
      </c>
      <c r="E205" s="8" t="s">
        <v>8</v>
      </c>
      <c r="F205" s="8" t="s">
        <v>8</v>
      </c>
      <c r="G205" s="8">
        <v>300</v>
      </c>
      <c r="H205" s="8">
        <v>0</v>
      </c>
      <c r="I205" s="8">
        <v>-300</v>
      </c>
      <c r="J205" s="8">
        <v>0</v>
      </c>
      <c r="K205" s="8" t="s">
        <v>9</v>
      </c>
      <c r="L205" s="8" t="s">
        <v>5</v>
      </c>
      <c r="M205" s="8">
        <v>2026</v>
      </c>
      <c r="N205" s="8">
        <v>1</v>
      </c>
      <c r="O205" s="8"/>
    </row>
    <row r="206" spans="2:15" x14ac:dyDescent="0.25">
      <c r="B206" s="8">
        <v>198</v>
      </c>
      <c r="C206" s="8" t="s">
        <v>123</v>
      </c>
      <c r="D206" s="10">
        <v>46025</v>
      </c>
      <c r="E206" s="8" t="s">
        <v>147</v>
      </c>
      <c r="F206" s="8" t="s">
        <v>25</v>
      </c>
      <c r="G206" s="8">
        <v>20</v>
      </c>
      <c r="H206" s="8">
        <v>0</v>
      </c>
      <c r="I206" s="8">
        <v>-20</v>
      </c>
      <c r="J206" s="8">
        <v>0</v>
      </c>
      <c r="K206" s="8" t="s">
        <v>22</v>
      </c>
      <c r="L206" s="8" t="s">
        <v>5</v>
      </c>
      <c r="M206" s="8">
        <v>2026</v>
      </c>
      <c r="N206" s="8">
        <v>1</v>
      </c>
      <c r="O206" s="8"/>
    </row>
    <row r="207" spans="2:15" x14ac:dyDescent="0.25">
      <c r="B207" s="8">
        <v>199</v>
      </c>
      <c r="C207" s="8" t="s">
        <v>122</v>
      </c>
      <c r="D207" s="10">
        <v>46026</v>
      </c>
      <c r="E207" s="8" t="s">
        <v>234</v>
      </c>
      <c r="F207" s="8" t="s">
        <v>10</v>
      </c>
      <c r="G207" s="8">
        <v>20</v>
      </c>
      <c r="H207" s="8">
        <v>0</v>
      </c>
      <c r="I207" s="8">
        <v>-20</v>
      </c>
      <c r="J207" s="8">
        <v>0</v>
      </c>
      <c r="K207" s="8" t="s">
        <v>9</v>
      </c>
      <c r="L207" s="8" t="s">
        <v>5</v>
      </c>
      <c r="M207" s="8">
        <v>2026</v>
      </c>
      <c r="N207" s="8">
        <v>1</v>
      </c>
      <c r="O207" s="8"/>
    </row>
    <row r="208" spans="2:15" x14ac:dyDescent="0.25">
      <c r="B208" s="8">
        <v>200</v>
      </c>
      <c r="C208" s="8" t="s">
        <v>122</v>
      </c>
      <c r="D208" s="10">
        <v>46026</v>
      </c>
      <c r="E208" s="8" t="s">
        <v>235</v>
      </c>
      <c r="F208" s="8" t="s">
        <v>10</v>
      </c>
      <c r="G208" s="8">
        <v>420</v>
      </c>
      <c r="H208" s="8">
        <v>0</v>
      </c>
      <c r="I208" s="8">
        <v>-420</v>
      </c>
      <c r="J208" s="8">
        <v>0</v>
      </c>
      <c r="K208" s="8" t="s">
        <v>9</v>
      </c>
      <c r="L208" s="8" t="s">
        <v>5</v>
      </c>
      <c r="M208" s="8">
        <v>2026</v>
      </c>
      <c r="N208" s="8">
        <v>1</v>
      </c>
      <c r="O208" s="8"/>
    </row>
    <row r="209" spans="2:15" x14ac:dyDescent="0.25">
      <c r="B209" s="8">
        <v>201</v>
      </c>
      <c r="C209" s="8" t="s">
        <v>122</v>
      </c>
      <c r="D209" s="10">
        <v>46026</v>
      </c>
      <c r="E209" s="8" t="s">
        <v>236</v>
      </c>
      <c r="F209" s="8" t="s">
        <v>25</v>
      </c>
      <c r="G209" s="8">
        <v>210</v>
      </c>
      <c r="H209" s="8">
        <v>0</v>
      </c>
      <c r="I209" s="8">
        <v>-210</v>
      </c>
      <c r="J209" s="8">
        <v>0</v>
      </c>
      <c r="K209" s="8" t="s">
        <v>22</v>
      </c>
      <c r="L209" s="8" t="s">
        <v>5</v>
      </c>
      <c r="M209" s="8">
        <v>2026</v>
      </c>
      <c r="N209" s="8">
        <v>1</v>
      </c>
      <c r="O209" s="8"/>
    </row>
    <row r="210" spans="2:15" x14ac:dyDescent="0.25">
      <c r="B210" s="8">
        <v>202</v>
      </c>
      <c r="C210" s="8" t="s">
        <v>122</v>
      </c>
      <c r="D210" s="10">
        <v>46026</v>
      </c>
      <c r="E210" s="8" t="s">
        <v>237</v>
      </c>
      <c r="F210" s="8" t="s">
        <v>10</v>
      </c>
      <c r="G210" s="8">
        <v>90</v>
      </c>
      <c r="H210" s="8">
        <v>0</v>
      </c>
      <c r="I210" s="8">
        <v>-90</v>
      </c>
      <c r="J210" s="8">
        <v>0</v>
      </c>
      <c r="K210" s="8" t="s">
        <v>9</v>
      </c>
      <c r="L210" s="8" t="s">
        <v>5</v>
      </c>
      <c r="M210" s="8">
        <v>2026</v>
      </c>
      <c r="N210" s="8">
        <v>1</v>
      </c>
      <c r="O210" s="8"/>
    </row>
    <row r="211" spans="2:15" x14ac:dyDescent="0.25">
      <c r="B211" s="8">
        <v>203</v>
      </c>
      <c r="C211" s="8" t="s">
        <v>122</v>
      </c>
      <c r="D211" s="10">
        <v>46026</v>
      </c>
      <c r="E211" s="8" t="s">
        <v>238</v>
      </c>
      <c r="F211" s="8" t="s">
        <v>10</v>
      </c>
      <c r="G211" s="8">
        <v>100</v>
      </c>
      <c r="H211" s="8">
        <v>0</v>
      </c>
      <c r="I211" s="8">
        <v>-100</v>
      </c>
      <c r="J211" s="8">
        <v>0</v>
      </c>
      <c r="K211" s="8" t="s">
        <v>9</v>
      </c>
      <c r="L211" s="8" t="s">
        <v>5</v>
      </c>
      <c r="M211" s="8">
        <v>2026</v>
      </c>
      <c r="N211" s="8">
        <v>1</v>
      </c>
      <c r="O211" s="8"/>
    </row>
    <row r="212" spans="2:15" x14ac:dyDescent="0.25">
      <c r="B212" s="8">
        <v>204</v>
      </c>
      <c r="C212" s="8" t="s">
        <v>122</v>
      </c>
      <c r="D212" s="10">
        <v>46026</v>
      </c>
      <c r="E212" s="8" t="s">
        <v>239</v>
      </c>
      <c r="F212" s="8" t="s">
        <v>10</v>
      </c>
      <c r="G212" s="8">
        <v>50</v>
      </c>
      <c r="H212" s="8">
        <v>0</v>
      </c>
      <c r="I212" s="8">
        <v>-50</v>
      </c>
      <c r="J212" s="8">
        <v>0</v>
      </c>
      <c r="K212" s="8" t="s">
        <v>9</v>
      </c>
      <c r="L212" s="8" t="s">
        <v>5</v>
      </c>
      <c r="M212" s="8">
        <v>2026</v>
      </c>
      <c r="N212" s="8">
        <v>1</v>
      </c>
      <c r="O212" s="8"/>
    </row>
    <row r="213" spans="2:15" x14ac:dyDescent="0.25">
      <c r="B213" s="8">
        <v>205</v>
      </c>
      <c r="C213" s="8" t="s">
        <v>123</v>
      </c>
      <c r="D213" s="10">
        <v>46026</v>
      </c>
      <c r="E213" s="8" t="s">
        <v>240</v>
      </c>
      <c r="F213" s="8" t="s">
        <v>10</v>
      </c>
      <c r="G213" s="8">
        <v>220</v>
      </c>
      <c r="H213" s="8">
        <v>0</v>
      </c>
      <c r="I213" s="8">
        <v>-220</v>
      </c>
      <c r="J213" s="8">
        <v>0</v>
      </c>
      <c r="K213" s="8" t="s">
        <v>9</v>
      </c>
      <c r="L213" s="8" t="s">
        <v>5</v>
      </c>
      <c r="M213" s="8">
        <v>2026</v>
      </c>
      <c r="N213" s="8">
        <v>1</v>
      </c>
      <c r="O213" s="8"/>
    </row>
    <row r="214" spans="2:15" x14ac:dyDescent="0.25">
      <c r="B214" s="8">
        <v>206</v>
      </c>
      <c r="C214" s="8" t="s">
        <v>123</v>
      </c>
      <c r="D214" s="10">
        <v>46026</v>
      </c>
      <c r="E214" s="8" t="s">
        <v>241</v>
      </c>
      <c r="F214" s="8" t="s">
        <v>25</v>
      </c>
      <c r="G214" s="8">
        <v>316</v>
      </c>
      <c r="H214" s="8">
        <v>0</v>
      </c>
      <c r="I214" s="8">
        <v>-316</v>
      </c>
      <c r="J214" s="8">
        <v>0</v>
      </c>
      <c r="K214" s="8" t="s">
        <v>22</v>
      </c>
      <c r="L214" s="8" t="s">
        <v>5</v>
      </c>
      <c r="M214" s="8">
        <v>2026</v>
      </c>
      <c r="N214" s="8">
        <v>1</v>
      </c>
      <c r="O214" s="8"/>
    </row>
    <row r="215" spans="2:15" x14ac:dyDescent="0.25">
      <c r="B215" s="8">
        <v>207</v>
      </c>
      <c r="C215" s="8" t="s">
        <v>122</v>
      </c>
      <c r="D215" s="10">
        <v>46027</v>
      </c>
      <c r="E215" s="8" t="s">
        <v>233</v>
      </c>
      <c r="F215" s="8" t="s">
        <v>14</v>
      </c>
      <c r="G215" s="8">
        <v>45</v>
      </c>
      <c r="H215" s="8">
        <v>0</v>
      </c>
      <c r="I215" s="8">
        <v>-45</v>
      </c>
      <c r="J215" s="8">
        <v>0</v>
      </c>
      <c r="K215" s="8" t="s">
        <v>13</v>
      </c>
      <c r="L215" s="8" t="s">
        <v>5</v>
      </c>
      <c r="M215" s="8">
        <v>2026</v>
      </c>
      <c r="N215" s="8">
        <v>1</v>
      </c>
      <c r="O215" s="8"/>
    </row>
    <row r="216" spans="2:15" x14ac:dyDescent="0.25">
      <c r="B216" s="8">
        <v>208</v>
      </c>
      <c r="C216" s="8" t="s">
        <v>122</v>
      </c>
      <c r="D216" s="10">
        <v>46028</v>
      </c>
      <c r="E216" s="8" t="s">
        <v>136</v>
      </c>
      <c r="F216" s="8" t="s">
        <v>21</v>
      </c>
      <c r="G216" s="8">
        <v>960</v>
      </c>
      <c r="H216" s="8">
        <v>0</v>
      </c>
      <c r="I216" s="8">
        <v>-960</v>
      </c>
      <c r="J216" s="8">
        <v>0</v>
      </c>
      <c r="K216" s="8" t="s">
        <v>22</v>
      </c>
      <c r="L216" s="8" t="s">
        <v>5</v>
      </c>
      <c r="M216" s="8">
        <v>2026</v>
      </c>
      <c r="N216" s="8">
        <v>1</v>
      </c>
      <c r="O216" s="8"/>
    </row>
    <row r="217" spans="2:15" x14ac:dyDescent="0.25">
      <c r="B217" s="8">
        <v>209</v>
      </c>
      <c r="C217" s="8" t="s">
        <v>122</v>
      </c>
      <c r="D217" s="10">
        <v>46028</v>
      </c>
      <c r="E217" s="8" t="s">
        <v>211</v>
      </c>
      <c r="F217" s="8" t="s">
        <v>21</v>
      </c>
      <c r="G217" s="8">
        <v>300</v>
      </c>
      <c r="H217" s="8">
        <v>0</v>
      </c>
      <c r="I217" s="8">
        <v>-300</v>
      </c>
      <c r="J217" s="8">
        <v>0</v>
      </c>
      <c r="K217" s="8" t="s">
        <v>22</v>
      </c>
      <c r="L217" s="8" t="s">
        <v>5</v>
      </c>
      <c r="M217" s="8">
        <v>2026</v>
      </c>
      <c r="N217" s="8">
        <v>1</v>
      </c>
      <c r="O217" s="8"/>
    </row>
    <row r="218" spans="2:15" x14ac:dyDescent="0.25">
      <c r="B218" s="8">
        <v>210</v>
      </c>
      <c r="C218" s="8" t="s">
        <v>122</v>
      </c>
      <c r="D218" s="10">
        <v>46028</v>
      </c>
      <c r="E218" s="8" t="s">
        <v>221</v>
      </c>
      <c r="F218" s="8" t="s">
        <v>21</v>
      </c>
      <c r="G218" s="8">
        <v>210</v>
      </c>
      <c r="H218" s="8">
        <v>0</v>
      </c>
      <c r="I218" s="8">
        <v>-210</v>
      </c>
      <c r="J218" s="8">
        <v>0</v>
      </c>
      <c r="K218" s="8" t="s">
        <v>22</v>
      </c>
      <c r="L218" s="8" t="s">
        <v>5</v>
      </c>
      <c r="M218" s="8">
        <v>2026</v>
      </c>
      <c r="N218" s="8">
        <v>1</v>
      </c>
      <c r="O218" s="8"/>
    </row>
    <row r="219" spans="2:15" x14ac:dyDescent="0.25">
      <c r="B219" s="8">
        <v>211</v>
      </c>
      <c r="C219" s="8" t="s">
        <v>123</v>
      </c>
      <c r="D219" s="10">
        <v>46028</v>
      </c>
      <c r="E219" s="8" t="s">
        <v>242</v>
      </c>
      <c r="F219" s="8" t="s">
        <v>21</v>
      </c>
      <c r="G219" s="8">
        <v>105</v>
      </c>
      <c r="H219" s="8">
        <v>0</v>
      </c>
      <c r="I219" s="8">
        <v>-105</v>
      </c>
      <c r="J219" s="8">
        <v>0</v>
      </c>
      <c r="K219" s="8" t="s">
        <v>22</v>
      </c>
      <c r="L219" s="8" t="s">
        <v>5</v>
      </c>
      <c r="M219" s="8">
        <v>2026</v>
      </c>
      <c r="N219" s="8">
        <v>1</v>
      </c>
      <c r="O219" s="8"/>
    </row>
    <row r="220" spans="2:15" x14ac:dyDescent="0.25">
      <c r="B220" s="8">
        <v>212</v>
      </c>
      <c r="C220" s="8" t="s">
        <v>123</v>
      </c>
      <c r="D220" s="10">
        <v>46028</v>
      </c>
      <c r="E220" s="8" t="s">
        <v>243</v>
      </c>
      <c r="F220" s="8" t="s">
        <v>21</v>
      </c>
      <c r="G220" s="8">
        <v>122</v>
      </c>
      <c r="H220" s="8">
        <v>0</v>
      </c>
      <c r="I220" s="8">
        <v>-122</v>
      </c>
      <c r="J220" s="8">
        <v>0</v>
      </c>
      <c r="K220" s="8" t="s">
        <v>22</v>
      </c>
      <c r="L220" s="8" t="s">
        <v>5</v>
      </c>
      <c r="M220" s="8">
        <v>2026</v>
      </c>
      <c r="N220" s="8">
        <v>1</v>
      </c>
      <c r="O220" s="8"/>
    </row>
    <row r="221" spans="2:15" x14ac:dyDescent="0.25">
      <c r="B221" s="8">
        <v>213</v>
      </c>
      <c r="C221" s="8" t="s">
        <v>122</v>
      </c>
      <c r="D221" s="10">
        <v>46029</v>
      </c>
      <c r="E221" s="8" t="s">
        <v>158</v>
      </c>
      <c r="F221" s="8" t="s">
        <v>8</v>
      </c>
      <c r="G221" s="8">
        <v>300</v>
      </c>
      <c r="H221" s="8">
        <v>0</v>
      </c>
      <c r="I221" s="8">
        <v>-300</v>
      </c>
      <c r="J221" s="8">
        <v>0</v>
      </c>
      <c r="K221" s="8" t="s">
        <v>9</v>
      </c>
      <c r="L221" s="8" t="s">
        <v>5</v>
      </c>
      <c r="M221" s="8">
        <v>2026</v>
      </c>
      <c r="N221" s="8">
        <v>1</v>
      </c>
      <c r="O221" s="8"/>
    </row>
    <row r="222" spans="2:15" x14ac:dyDescent="0.25">
      <c r="B222" s="8">
        <v>214</v>
      </c>
      <c r="C222" s="8" t="s">
        <v>123</v>
      </c>
      <c r="D222" s="10">
        <v>46029</v>
      </c>
      <c r="E222" s="8" t="s">
        <v>265</v>
      </c>
      <c r="F222" s="8" t="s">
        <v>10</v>
      </c>
      <c r="G222" s="8">
        <v>0</v>
      </c>
      <c r="H222" s="8">
        <v>570</v>
      </c>
      <c r="I222" s="8">
        <v>570</v>
      </c>
      <c r="J222" s="8">
        <v>0</v>
      </c>
      <c r="K222" s="8" t="s">
        <v>9</v>
      </c>
      <c r="L222" s="8" t="s">
        <v>5</v>
      </c>
      <c r="M222" s="8">
        <v>2026</v>
      </c>
      <c r="N222" s="8">
        <v>1</v>
      </c>
      <c r="O222" s="8"/>
    </row>
    <row r="223" spans="2:15" x14ac:dyDescent="0.25">
      <c r="B223" s="8">
        <v>215</v>
      </c>
      <c r="C223" s="8" t="s">
        <v>123</v>
      </c>
      <c r="D223" s="10">
        <v>46029</v>
      </c>
      <c r="E223" s="8" t="s">
        <v>266</v>
      </c>
      <c r="F223" s="8" t="s">
        <v>10</v>
      </c>
      <c r="G223" s="8">
        <v>0</v>
      </c>
      <c r="H223" s="8">
        <v>620</v>
      </c>
      <c r="I223" s="8">
        <v>620</v>
      </c>
      <c r="J223" s="8">
        <v>0</v>
      </c>
      <c r="K223" s="8" t="s">
        <v>9</v>
      </c>
      <c r="L223" s="8" t="s">
        <v>5</v>
      </c>
      <c r="M223" s="8">
        <v>2026</v>
      </c>
      <c r="N223" s="8">
        <v>1</v>
      </c>
      <c r="O223" s="8"/>
    </row>
    <row r="224" spans="2:15" x14ac:dyDescent="0.25">
      <c r="B224" s="8">
        <v>216</v>
      </c>
      <c r="C224" s="8" t="s">
        <v>122</v>
      </c>
      <c r="D224" s="10">
        <v>46030</v>
      </c>
      <c r="E224" s="8" t="s">
        <v>246</v>
      </c>
      <c r="F224" s="8" t="s">
        <v>10</v>
      </c>
      <c r="G224" s="8">
        <v>930</v>
      </c>
      <c r="H224" s="8">
        <v>0</v>
      </c>
      <c r="I224" s="8">
        <v>-930</v>
      </c>
      <c r="J224" s="8">
        <v>0</v>
      </c>
      <c r="K224" s="8" t="s">
        <v>9</v>
      </c>
      <c r="L224" s="8" t="s">
        <v>5</v>
      </c>
      <c r="M224" s="8">
        <v>2026</v>
      </c>
      <c r="N224" s="8">
        <v>1</v>
      </c>
      <c r="O224" s="8"/>
    </row>
    <row r="225" spans="2:15" x14ac:dyDescent="0.25">
      <c r="B225" s="8">
        <v>217</v>
      </c>
      <c r="C225" s="8" t="s">
        <v>122</v>
      </c>
      <c r="D225" s="10">
        <v>46030</v>
      </c>
      <c r="E225" s="8" t="s">
        <v>247</v>
      </c>
      <c r="F225" s="8" t="s">
        <v>10</v>
      </c>
      <c r="G225" s="8">
        <v>930</v>
      </c>
      <c r="H225" s="8">
        <v>0</v>
      </c>
      <c r="I225" s="8">
        <v>-930</v>
      </c>
      <c r="J225" s="8">
        <v>0</v>
      </c>
      <c r="K225" s="8" t="s">
        <v>9</v>
      </c>
      <c r="L225" s="8" t="s">
        <v>5</v>
      </c>
      <c r="M225" s="8">
        <v>2026</v>
      </c>
      <c r="N225" s="8">
        <v>1</v>
      </c>
      <c r="O225" s="8"/>
    </row>
    <row r="226" spans="2:15" x14ac:dyDescent="0.25">
      <c r="B226" s="8">
        <v>218</v>
      </c>
      <c r="C226" s="8" t="s">
        <v>122</v>
      </c>
      <c r="D226" s="10">
        <v>46030</v>
      </c>
      <c r="E226" s="8" t="s">
        <v>207</v>
      </c>
      <c r="F226" s="8" t="s">
        <v>25</v>
      </c>
      <c r="G226" s="8">
        <v>762.3</v>
      </c>
      <c r="H226" s="8">
        <v>0</v>
      </c>
      <c r="I226" s="8">
        <v>-762.3</v>
      </c>
      <c r="J226" s="8">
        <v>0</v>
      </c>
      <c r="K226" s="8" t="s">
        <v>22</v>
      </c>
      <c r="L226" s="8" t="s">
        <v>5</v>
      </c>
      <c r="M226" s="8">
        <v>2026</v>
      </c>
      <c r="N226" s="8">
        <v>1</v>
      </c>
      <c r="O226" s="8"/>
    </row>
    <row r="227" spans="2:15" x14ac:dyDescent="0.25">
      <c r="B227" s="8">
        <v>219</v>
      </c>
      <c r="C227" s="8" t="s">
        <v>122</v>
      </c>
      <c r="D227" s="10">
        <v>46030</v>
      </c>
      <c r="E227" s="8" t="s">
        <v>253</v>
      </c>
      <c r="F227" s="8" t="s">
        <v>39</v>
      </c>
      <c r="G227" s="8">
        <v>2000</v>
      </c>
      <c r="H227" s="8">
        <v>0</v>
      </c>
      <c r="I227" s="8">
        <v>-2000</v>
      </c>
      <c r="J227" s="8">
        <v>0</v>
      </c>
      <c r="K227" s="8" t="s">
        <v>38</v>
      </c>
      <c r="L227" s="8" t="s">
        <v>5</v>
      </c>
      <c r="M227" s="8">
        <v>2026</v>
      </c>
      <c r="N227" s="8">
        <v>1</v>
      </c>
      <c r="O227" s="8"/>
    </row>
    <row r="228" spans="2:15" x14ac:dyDescent="0.25">
      <c r="B228" s="8">
        <v>220</v>
      </c>
      <c r="C228" s="8" t="s">
        <v>122</v>
      </c>
      <c r="D228" s="10">
        <v>46030</v>
      </c>
      <c r="E228" s="8" t="s">
        <v>42</v>
      </c>
      <c r="F228" s="8" t="s">
        <v>85</v>
      </c>
      <c r="G228" s="8">
        <v>0</v>
      </c>
      <c r="H228" s="8">
        <v>48187</v>
      </c>
      <c r="I228" s="8">
        <v>48187</v>
      </c>
      <c r="J228" s="8">
        <v>0</v>
      </c>
      <c r="K228" s="8" t="s">
        <v>43</v>
      </c>
      <c r="L228" s="8" t="s">
        <v>44</v>
      </c>
      <c r="M228" s="8">
        <v>2026</v>
      </c>
      <c r="N228" s="8">
        <v>1</v>
      </c>
      <c r="O228" s="8"/>
    </row>
    <row r="229" spans="2:15" x14ac:dyDescent="0.25">
      <c r="B229" s="8">
        <v>221</v>
      </c>
      <c r="C229" s="8" t="s">
        <v>123</v>
      </c>
      <c r="D229" s="10">
        <v>46030</v>
      </c>
      <c r="E229" s="8" t="s">
        <v>258</v>
      </c>
      <c r="F229" s="8" t="s">
        <v>7</v>
      </c>
      <c r="G229" s="8">
        <v>469</v>
      </c>
      <c r="H229" s="8">
        <v>0</v>
      </c>
      <c r="I229" s="8">
        <v>-469</v>
      </c>
      <c r="J229" s="8">
        <v>0</v>
      </c>
      <c r="K229" s="8" t="s">
        <v>4</v>
      </c>
      <c r="L229" s="8" t="s">
        <v>5</v>
      </c>
      <c r="M229" s="8">
        <v>2026</v>
      </c>
      <c r="N229" s="8">
        <v>1</v>
      </c>
      <c r="O229" s="8"/>
    </row>
    <row r="230" spans="2:15" x14ac:dyDescent="0.25">
      <c r="B230" s="8">
        <v>222</v>
      </c>
      <c r="C230" s="8" t="s">
        <v>122</v>
      </c>
      <c r="D230" s="10">
        <v>46031</v>
      </c>
      <c r="E230" s="8" t="s">
        <v>248</v>
      </c>
      <c r="F230" s="8" t="s">
        <v>21</v>
      </c>
      <c r="G230" s="8">
        <v>147</v>
      </c>
      <c r="H230" s="8">
        <v>0</v>
      </c>
      <c r="I230" s="8">
        <v>-147</v>
      </c>
      <c r="J230" s="8">
        <v>0</v>
      </c>
      <c r="K230" s="8" t="s">
        <v>22</v>
      </c>
      <c r="L230" s="8" t="s">
        <v>5</v>
      </c>
      <c r="M230" s="8">
        <v>2026</v>
      </c>
      <c r="N230" s="8">
        <v>1</v>
      </c>
      <c r="O230" s="8"/>
    </row>
    <row r="231" spans="2:15" x14ac:dyDescent="0.25">
      <c r="B231" s="8">
        <v>223</v>
      </c>
      <c r="C231" s="8" t="s">
        <v>122</v>
      </c>
      <c r="D231" s="10">
        <v>46031</v>
      </c>
      <c r="E231" s="8" t="s">
        <v>249</v>
      </c>
      <c r="F231" s="8" t="s">
        <v>218</v>
      </c>
      <c r="G231" s="8">
        <v>353</v>
      </c>
      <c r="H231" s="8">
        <v>0</v>
      </c>
      <c r="I231" s="8">
        <v>-353</v>
      </c>
      <c r="J231" s="8">
        <v>0</v>
      </c>
      <c r="K231" s="8" t="s">
        <v>19</v>
      </c>
      <c r="L231" s="8" t="s">
        <v>5</v>
      </c>
      <c r="M231" s="8">
        <v>2026</v>
      </c>
      <c r="N231" s="8">
        <v>1</v>
      </c>
      <c r="O231" s="8"/>
    </row>
    <row r="232" spans="2:15" x14ac:dyDescent="0.25">
      <c r="B232" s="8">
        <v>224</v>
      </c>
      <c r="C232" s="8" t="s">
        <v>122</v>
      </c>
      <c r="D232" s="10">
        <v>46032</v>
      </c>
      <c r="E232" s="8" t="s">
        <v>250</v>
      </c>
      <c r="F232" s="8" t="s">
        <v>21</v>
      </c>
      <c r="G232" s="8">
        <v>50</v>
      </c>
      <c r="H232" s="8">
        <v>0</v>
      </c>
      <c r="I232" s="8">
        <v>-50</v>
      </c>
      <c r="J232" s="8">
        <v>0</v>
      </c>
      <c r="K232" s="8" t="s">
        <v>22</v>
      </c>
      <c r="L232" s="8" t="s">
        <v>5</v>
      </c>
      <c r="M232" s="8">
        <v>2026</v>
      </c>
      <c r="N232" s="8">
        <v>1</v>
      </c>
      <c r="O232" s="8"/>
    </row>
    <row r="233" spans="2:15" x14ac:dyDescent="0.25">
      <c r="B233" s="8">
        <v>225</v>
      </c>
      <c r="C233" s="8" t="s">
        <v>122</v>
      </c>
      <c r="D233" s="10">
        <v>46032</v>
      </c>
      <c r="E233" s="8" t="s">
        <v>227</v>
      </c>
      <c r="F233" s="8" t="s">
        <v>25</v>
      </c>
      <c r="G233" s="8">
        <v>100</v>
      </c>
      <c r="H233" s="8">
        <v>0</v>
      </c>
      <c r="I233" s="8">
        <v>-100</v>
      </c>
      <c r="J233" s="8">
        <v>0</v>
      </c>
      <c r="K233" s="8" t="s">
        <v>22</v>
      </c>
      <c r="L233" s="8" t="s">
        <v>5</v>
      </c>
      <c r="M233" s="8">
        <v>2026</v>
      </c>
      <c r="N233" s="8">
        <v>1</v>
      </c>
      <c r="O233" s="8"/>
    </row>
    <row r="234" spans="2:15" x14ac:dyDescent="0.25">
      <c r="B234" s="8">
        <v>226</v>
      </c>
      <c r="C234" s="8" t="s">
        <v>122</v>
      </c>
      <c r="D234" s="10">
        <v>46032</v>
      </c>
      <c r="E234" s="8" t="s">
        <v>251</v>
      </c>
      <c r="F234" s="8" t="s">
        <v>26</v>
      </c>
      <c r="G234" s="8">
        <v>150</v>
      </c>
      <c r="H234" s="8">
        <v>0</v>
      </c>
      <c r="I234" s="8">
        <v>-150</v>
      </c>
      <c r="J234" s="8">
        <v>0</v>
      </c>
      <c r="K234" s="8" t="s">
        <v>22</v>
      </c>
      <c r="L234" s="8" t="s">
        <v>5</v>
      </c>
      <c r="M234" s="8">
        <v>2026</v>
      </c>
      <c r="N234" s="8">
        <v>1</v>
      </c>
      <c r="O234" s="8"/>
    </row>
    <row r="235" spans="2:15" x14ac:dyDescent="0.25">
      <c r="B235" s="8">
        <v>227</v>
      </c>
      <c r="C235" s="8" t="s">
        <v>122</v>
      </c>
      <c r="D235" s="10">
        <v>46032</v>
      </c>
      <c r="E235" s="8" t="s">
        <v>255</v>
      </c>
      <c r="F235" s="8" t="s">
        <v>24</v>
      </c>
      <c r="G235" s="8">
        <v>600</v>
      </c>
      <c r="H235" s="8">
        <v>0</v>
      </c>
      <c r="I235" s="8">
        <v>-600</v>
      </c>
      <c r="J235" s="8">
        <v>0</v>
      </c>
      <c r="K235" s="8" t="s">
        <v>22</v>
      </c>
      <c r="L235" s="8" t="s">
        <v>5</v>
      </c>
      <c r="M235" s="8">
        <v>2026</v>
      </c>
      <c r="N235" s="8">
        <v>1</v>
      </c>
      <c r="O235" s="8"/>
    </row>
    <row r="236" spans="2:15" x14ac:dyDescent="0.25">
      <c r="B236" s="8">
        <v>228</v>
      </c>
      <c r="C236" s="8" t="s">
        <v>122</v>
      </c>
      <c r="D236" s="10">
        <v>46032</v>
      </c>
      <c r="E236" s="8" t="s">
        <v>256</v>
      </c>
      <c r="F236" s="8" t="s">
        <v>83</v>
      </c>
      <c r="G236" s="8">
        <v>5000</v>
      </c>
      <c r="H236" s="8">
        <v>0</v>
      </c>
      <c r="I236" s="8">
        <v>-5000</v>
      </c>
      <c r="J236" s="8">
        <v>0</v>
      </c>
      <c r="K236" s="8" t="s">
        <v>38</v>
      </c>
      <c r="L236" s="8" t="s">
        <v>5</v>
      </c>
      <c r="M236" s="8">
        <v>2026</v>
      </c>
      <c r="N236" s="8">
        <v>1</v>
      </c>
      <c r="O236" s="8"/>
    </row>
    <row r="237" spans="2:15" x14ac:dyDescent="0.25">
      <c r="B237" s="8">
        <v>229</v>
      </c>
      <c r="C237" s="8" t="s">
        <v>122</v>
      </c>
      <c r="D237" s="10">
        <v>46032</v>
      </c>
      <c r="E237" s="8" t="s">
        <v>257</v>
      </c>
      <c r="F237" s="8" t="s">
        <v>24</v>
      </c>
      <c r="G237" s="8">
        <v>600</v>
      </c>
      <c r="H237" s="8">
        <v>0</v>
      </c>
      <c r="I237" s="8">
        <v>-600</v>
      </c>
      <c r="J237" s="8">
        <v>0</v>
      </c>
      <c r="K237" s="8" t="s">
        <v>22</v>
      </c>
      <c r="L237" s="8" t="s">
        <v>5</v>
      </c>
      <c r="M237" s="8">
        <v>2026</v>
      </c>
      <c r="N237" s="8">
        <v>1</v>
      </c>
      <c r="O237" s="8"/>
    </row>
    <row r="238" spans="2:15" x14ac:dyDescent="0.25">
      <c r="B238" s="8">
        <v>230</v>
      </c>
      <c r="C238" s="8" t="s">
        <v>122</v>
      </c>
      <c r="D238" s="10">
        <v>46032</v>
      </c>
      <c r="E238" s="8" t="s">
        <v>159</v>
      </c>
      <c r="F238" s="8" t="s">
        <v>25</v>
      </c>
      <c r="G238" s="8">
        <v>400</v>
      </c>
      <c r="H238" s="8">
        <v>0</v>
      </c>
      <c r="I238" s="8">
        <v>-400</v>
      </c>
      <c r="J238" s="8">
        <v>0</v>
      </c>
      <c r="K238" s="8" t="s">
        <v>22</v>
      </c>
      <c r="L238" s="8" t="s">
        <v>5</v>
      </c>
      <c r="M238" s="8">
        <v>2026</v>
      </c>
      <c r="N238" s="8">
        <v>1</v>
      </c>
      <c r="O238" s="8"/>
    </row>
    <row r="239" spans="2:15" x14ac:dyDescent="0.25">
      <c r="B239" s="8">
        <v>231</v>
      </c>
      <c r="C239" s="8" t="s">
        <v>122</v>
      </c>
      <c r="D239" s="10">
        <v>46032</v>
      </c>
      <c r="E239" s="8" t="s">
        <v>261</v>
      </c>
      <c r="F239" s="8" t="s">
        <v>3</v>
      </c>
      <c r="G239" s="8">
        <v>16000</v>
      </c>
      <c r="H239" s="8">
        <v>0</v>
      </c>
      <c r="I239" s="8">
        <v>-16000</v>
      </c>
      <c r="J239" s="8">
        <v>0</v>
      </c>
      <c r="K239" s="8" t="s">
        <v>4</v>
      </c>
      <c r="L239" s="8" t="s">
        <v>5</v>
      </c>
      <c r="M239" s="8">
        <v>2026</v>
      </c>
      <c r="N239" s="8">
        <v>1</v>
      </c>
      <c r="O239" s="8"/>
    </row>
    <row r="240" spans="2:15" x14ac:dyDescent="0.25">
      <c r="B240" s="8">
        <v>232</v>
      </c>
      <c r="C240" s="8" t="s">
        <v>122</v>
      </c>
      <c r="D240" s="10">
        <v>46033</v>
      </c>
      <c r="E240" s="8" t="s">
        <v>144</v>
      </c>
      <c r="F240" s="8" t="s">
        <v>21</v>
      </c>
      <c r="G240" s="8">
        <v>135</v>
      </c>
      <c r="H240" s="8">
        <v>0</v>
      </c>
      <c r="I240" s="8">
        <v>-135</v>
      </c>
      <c r="J240" s="8">
        <v>0</v>
      </c>
      <c r="K240" s="8" t="s">
        <v>22</v>
      </c>
      <c r="L240" s="8" t="s">
        <v>5</v>
      </c>
      <c r="M240" s="8">
        <v>2026</v>
      </c>
      <c r="N240" s="8">
        <v>1</v>
      </c>
      <c r="O240" s="8"/>
    </row>
    <row r="241" spans="2:15" x14ac:dyDescent="0.25">
      <c r="B241" s="8">
        <v>233</v>
      </c>
      <c r="C241" s="8" t="s">
        <v>122</v>
      </c>
      <c r="D241" s="10">
        <v>46033</v>
      </c>
      <c r="E241" s="8" t="s">
        <v>128</v>
      </c>
      <c r="F241" s="8" t="s">
        <v>25</v>
      </c>
      <c r="G241" s="8">
        <v>217</v>
      </c>
      <c r="H241" s="8">
        <v>0</v>
      </c>
      <c r="I241" s="8">
        <v>-217</v>
      </c>
      <c r="J241" s="8">
        <v>0</v>
      </c>
      <c r="K241" s="8" t="s">
        <v>22</v>
      </c>
      <c r="L241" s="8" t="s">
        <v>5</v>
      </c>
      <c r="M241" s="8">
        <v>2026</v>
      </c>
      <c r="N241" s="8">
        <v>1</v>
      </c>
      <c r="O241" s="8"/>
    </row>
    <row r="242" spans="2:15" x14ac:dyDescent="0.25">
      <c r="B242" s="8">
        <v>234</v>
      </c>
      <c r="C242" s="8" t="s">
        <v>123</v>
      </c>
      <c r="D242" s="10">
        <v>46033</v>
      </c>
      <c r="E242" s="8" t="s">
        <v>259</v>
      </c>
      <c r="F242" s="8" t="s">
        <v>10</v>
      </c>
      <c r="G242" s="8">
        <v>30</v>
      </c>
      <c r="H242" s="8">
        <v>0</v>
      </c>
      <c r="I242" s="8">
        <v>-30</v>
      </c>
      <c r="J242" s="8">
        <v>0</v>
      </c>
      <c r="K242" s="8" t="s">
        <v>9</v>
      </c>
      <c r="L242" s="8" t="s">
        <v>5</v>
      </c>
      <c r="M242" s="8">
        <v>2026</v>
      </c>
      <c r="N242" s="8">
        <v>1</v>
      </c>
      <c r="O242" s="8"/>
    </row>
    <row r="243" spans="2:15" x14ac:dyDescent="0.25">
      <c r="B243" s="8">
        <v>235</v>
      </c>
      <c r="C243" s="8" t="s">
        <v>122</v>
      </c>
      <c r="D243" s="10">
        <v>46034</v>
      </c>
      <c r="E243" s="8" t="s">
        <v>252</v>
      </c>
      <c r="F243" s="8" t="s">
        <v>26</v>
      </c>
      <c r="G243" s="8">
        <v>40</v>
      </c>
      <c r="H243" s="8">
        <v>0</v>
      </c>
      <c r="I243" s="8">
        <v>-40</v>
      </c>
      <c r="J243" s="8">
        <v>0</v>
      </c>
      <c r="K243" s="8" t="s">
        <v>22</v>
      </c>
      <c r="L243" s="8" t="s">
        <v>5</v>
      </c>
      <c r="M243" s="8">
        <v>2026</v>
      </c>
      <c r="N243" s="8">
        <v>1</v>
      </c>
      <c r="O243" s="8"/>
    </row>
    <row r="244" spans="2:15" x14ac:dyDescent="0.25">
      <c r="B244" s="8">
        <v>236</v>
      </c>
      <c r="C244" s="8" t="s">
        <v>122</v>
      </c>
      <c r="D244" s="10">
        <v>46034</v>
      </c>
      <c r="E244" s="8" t="s">
        <v>254</v>
      </c>
      <c r="F244" s="8" t="s">
        <v>7</v>
      </c>
      <c r="G244" s="8">
        <v>1474</v>
      </c>
      <c r="H244" s="8">
        <v>0</v>
      </c>
      <c r="I244" s="8">
        <v>-1474</v>
      </c>
      <c r="J244" s="8">
        <v>0</v>
      </c>
      <c r="K244" s="8" t="s">
        <v>4</v>
      </c>
      <c r="L244" s="8" t="s">
        <v>5</v>
      </c>
      <c r="M244" s="8">
        <v>2026</v>
      </c>
      <c r="N244" s="8">
        <v>1</v>
      </c>
      <c r="O244" s="8"/>
    </row>
    <row r="245" spans="2:15" x14ac:dyDescent="0.25">
      <c r="B245" s="8">
        <v>237</v>
      </c>
      <c r="C245" s="8" t="s">
        <v>122</v>
      </c>
      <c r="D245" s="10">
        <v>46034</v>
      </c>
      <c r="E245" s="8" t="s">
        <v>264</v>
      </c>
      <c r="F245" s="8" t="s">
        <v>10</v>
      </c>
      <c r="G245" s="8">
        <v>2888</v>
      </c>
      <c r="H245" s="8">
        <v>0</v>
      </c>
      <c r="I245" s="8">
        <v>-2888</v>
      </c>
      <c r="J245" s="8">
        <v>0</v>
      </c>
      <c r="K245" s="8" t="s">
        <v>9</v>
      </c>
      <c r="L245" s="8" t="s">
        <v>5</v>
      </c>
      <c r="M245" s="8">
        <v>2026</v>
      </c>
      <c r="N245" s="8">
        <v>1</v>
      </c>
      <c r="O245" s="8"/>
    </row>
    <row r="246" spans="2:15" x14ac:dyDescent="0.25">
      <c r="B246" s="8">
        <v>238</v>
      </c>
      <c r="C246" s="8" t="s">
        <v>123</v>
      </c>
      <c r="D246" s="10">
        <v>46034</v>
      </c>
      <c r="E246" s="8" t="s">
        <v>260</v>
      </c>
      <c r="F246" s="8" t="s">
        <v>26</v>
      </c>
      <c r="G246" s="8">
        <v>50</v>
      </c>
      <c r="H246" s="8">
        <v>0</v>
      </c>
      <c r="I246" s="8">
        <v>-50</v>
      </c>
      <c r="J246" s="8">
        <v>0</v>
      </c>
      <c r="K246" s="8" t="s">
        <v>22</v>
      </c>
      <c r="L246" s="8" t="s">
        <v>5</v>
      </c>
      <c r="M246" s="8">
        <v>2026</v>
      </c>
      <c r="N246" s="8">
        <v>1</v>
      </c>
      <c r="O246" s="8"/>
    </row>
    <row r="247" spans="2:15" x14ac:dyDescent="0.25">
      <c r="B247" s="8">
        <v>239</v>
      </c>
      <c r="C247" s="8" t="s">
        <v>123</v>
      </c>
      <c r="D247" s="10">
        <v>46034</v>
      </c>
      <c r="E247" s="8" t="s">
        <v>135</v>
      </c>
      <c r="F247" s="8" t="s">
        <v>25</v>
      </c>
      <c r="G247" s="8">
        <v>80</v>
      </c>
      <c r="H247" s="8">
        <v>0</v>
      </c>
      <c r="I247" s="8">
        <v>-80</v>
      </c>
      <c r="J247" s="8">
        <v>0</v>
      </c>
      <c r="K247" s="8" t="s">
        <v>22</v>
      </c>
      <c r="L247" s="8" t="s">
        <v>5</v>
      </c>
      <c r="M247" s="8">
        <v>2026</v>
      </c>
      <c r="N247" s="8">
        <v>1</v>
      </c>
      <c r="O247" s="8"/>
    </row>
    <row r="248" spans="2:15" x14ac:dyDescent="0.25">
      <c r="B248" s="8">
        <v>240</v>
      </c>
      <c r="C248" s="8" t="s">
        <v>122</v>
      </c>
      <c r="D248" s="10">
        <v>46035</v>
      </c>
      <c r="E248" s="8" t="s">
        <v>263</v>
      </c>
      <c r="F248" s="8" t="s">
        <v>24</v>
      </c>
      <c r="G248" s="8">
        <v>816</v>
      </c>
      <c r="H248" s="8">
        <v>0</v>
      </c>
      <c r="I248" s="8">
        <v>-816</v>
      </c>
      <c r="J248" s="8">
        <v>0</v>
      </c>
      <c r="K248" s="8" t="s">
        <v>22</v>
      </c>
      <c r="L248" s="8" t="s">
        <v>5</v>
      </c>
      <c r="M248" s="8">
        <v>2026</v>
      </c>
      <c r="N248" s="8">
        <v>1</v>
      </c>
      <c r="O248" s="8"/>
    </row>
    <row r="249" spans="2:15" x14ac:dyDescent="0.25">
      <c r="B249" s="8">
        <v>241</v>
      </c>
      <c r="C249" s="8" t="s">
        <v>122</v>
      </c>
      <c r="D249" s="10">
        <v>46036</v>
      </c>
      <c r="E249" s="8" t="s">
        <v>262</v>
      </c>
      <c r="F249" s="8" t="s">
        <v>10</v>
      </c>
      <c r="G249" s="8">
        <v>1418</v>
      </c>
      <c r="H249" s="8">
        <v>0</v>
      </c>
      <c r="I249" s="8">
        <v>-1418</v>
      </c>
      <c r="J249" s="8">
        <v>0</v>
      </c>
      <c r="K249" s="8" t="s">
        <v>9</v>
      </c>
      <c r="L249" s="8" t="s">
        <v>5</v>
      </c>
      <c r="M249" s="8">
        <v>2026</v>
      </c>
      <c r="N249" s="8">
        <v>1</v>
      </c>
      <c r="O249" s="8"/>
    </row>
    <row r="250" spans="2:15" x14ac:dyDescent="0.25">
      <c r="B250" s="8">
        <v>242</v>
      </c>
      <c r="C250" s="8" t="s">
        <v>122</v>
      </c>
      <c r="D250" s="10">
        <v>46036</v>
      </c>
      <c r="E250" s="8" t="s">
        <v>267</v>
      </c>
      <c r="F250" s="8" t="s">
        <v>10</v>
      </c>
      <c r="G250" s="8">
        <v>320</v>
      </c>
      <c r="H250" s="8">
        <v>0</v>
      </c>
      <c r="I250" s="8">
        <v>-320</v>
      </c>
      <c r="J250" s="8">
        <v>0</v>
      </c>
      <c r="K250" s="8" t="s">
        <v>9</v>
      </c>
      <c r="L250" s="8" t="s">
        <v>5</v>
      </c>
      <c r="M250" s="8">
        <v>2026</v>
      </c>
      <c r="N250" s="8">
        <v>1</v>
      </c>
      <c r="O250" s="8"/>
    </row>
    <row r="251" spans="2:15" x14ac:dyDescent="0.25">
      <c r="B251" s="8">
        <v>243</v>
      </c>
      <c r="C251" s="8" t="s">
        <v>122</v>
      </c>
      <c r="D251" s="10">
        <v>46036</v>
      </c>
      <c r="E251" s="8" t="s">
        <v>147</v>
      </c>
      <c r="F251" s="8" t="s">
        <v>25</v>
      </c>
      <c r="G251" s="8">
        <v>15</v>
      </c>
      <c r="H251" s="8">
        <v>0</v>
      </c>
      <c r="I251" s="8">
        <v>-15</v>
      </c>
      <c r="J251" s="8">
        <v>0</v>
      </c>
      <c r="K251" s="8" t="s">
        <v>22</v>
      </c>
      <c r="L251" s="8" t="s">
        <v>5</v>
      </c>
      <c r="M251" s="8">
        <v>2026</v>
      </c>
      <c r="N251" s="8">
        <v>1</v>
      </c>
      <c r="O251" s="8"/>
    </row>
    <row r="252" spans="2:15" x14ac:dyDescent="0.25">
      <c r="B252" s="8">
        <v>244</v>
      </c>
      <c r="C252" s="8" t="s">
        <v>122</v>
      </c>
      <c r="D252" s="10">
        <v>46037</v>
      </c>
      <c r="E252" s="8" t="s">
        <v>268</v>
      </c>
      <c r="F252" s="8" t="s">
        <v>21</v>
      </c>
      <c r="G252" s="8">
        <v>323</v>
      </c>
      <c r="H252" s="8">
        <v>0</v>
      </c>
      <c r="I252" s="8">
        <v>-323</v>
      </c>
      <c r="J252" s="8">
        <v>0</v>
      </c>
      <c r="K252" s="8" t="s">
        <v>22</v>
      </c>
      <c r="L252" s="8" t="s">
        <v>5</v>
      </c>
      <c r="M252" s="8">
        <v>2026</v>
      </c>
      <c r="N252" s="8">
        <v>1</v>
      </c>
      <c r="O252" s="8"/>
    </row>
    <row r="253" spans="2:15" x14ac:dyDescent="0.25">
      <c r="B253" s="8">
        <v>245</v>
      </c>
      <c r="C253" s="8" t="s">
        <v>122</v>
      </c>
      <c r="D253" s="10">
        <v>46037</v>
      </c>
      <c r="E253" s="8" t="s">
        <v>162</v>
      </c>
      <c r="F253" s="8" t="s">
        <v>25</v>
      </c>
      <c r="G253" s="8">
        <v>165</v>
      </c>
      <c r="H253" s="8">
        <v>0</v>
      </c>
      <c r="I253" s="8">
        <v>-165</v>
      </c>
      <c r="J253" s="8">
        <v>0</v>
      </c>
      <c r="K253" s="8" t="s">
        <v>22</v>
      </c>
      <c r="L253" s="8" t="s">
        <v>5</v>
      </c>
      <c r="M253" s="8">
        <v>2026</v>
      </c>
      <c r="N253" s="8">
        <v>1</v>
      </c>
      <c r="O253" s="8"/>
    </row>
    <row r="254" spans="2:15" x14ac:dyDescent="0.25">
      <c r="B254" s="8">
        <v>246</v>
      </c>
      <c r="C254" s="8" t="s">
        <v>122</v>
      </c>
      <c r="D254" s="10">
        <v>46037</v>
      </c>
      <c r="E254" s="8" t="s">
        <v>275</v>
      </c>
      <c r="F254" s="8" t="s">
        <v>218</v>
      </c>
      <c r="G254" s="8">
        <v>157</v>
      </c>
      <c r="H254" s="8">
        <v>0</v>
      </c>
      <c r="I254" s="8">
        <v>-157</v>
      </c>
      <c r="J254" s="8">
        <v>0</v>
      </c>
      <c r="K254" s="8" t="s">
        <v>19</v>
      </c>
      <c r="L254" s="8" t="s">
        <v>5</v>
      </c>
      <c r="M254" s="8">
        <v>2026</v>
      </c>
      <c r="N254" s="8">
        <v>1</v>
      </c>
      <c r="O254" s="8"/>
    </row>
    <row r="255" spans="2:15" x14ac:dyDescent="0.25">
      <c r="B255" s="8">
        <v>247</v>
      </c>
      <c r="C255" s="8" t="s">
        <v>122</v>
      </c>
      <c r="D255" s="10">
        <v>46037</v>
      </c>
      <c r="E255" s="8" t="s">
        <v>195</v>
      </c>
      <c r="F255" s="8" t="s">
        <v>6</v>
      </c>
      <c r="G255" s="8">
        <v>52</v>
      </c>
      <c r="H255" s="8">
        <v>0</v>
      </c>
      <c r="I255" s="8">
        <v>-52</v>
      </c>
      <c r="J255" s="8">
        <v>0</v>
      </c>
      <c r="K255" s="8" t="s">
        <v>4</v>
      </c>
      <c r="L255" s="8" t="s">
        <v>5</v>
      </c>
      <c r="M255" s="8">
        <v>2026</v>
      </c>
      <c r="N255" s="8">
        <v>1</v>
      </c>
      <c r="O255" s="8"/>
    </row>
    <row r="256" spans="2:15" x14ac:dyDescent="0.25">
      <c r="B256" s="8">
        <v>248</v>
      </c>
      <c r="C256" s="8" t="s">
        <v>122</v>
      </c>
      <c r="D256" s="10">
        <v>46038</v>
      </c>
      <c r="E256" s="8" t="s">
        <v>269</v>
      </c>
      <c r="F256" s="8" t="s">
        <v>218</v>
      </c>
      <c r="G256" s="8">
        <v>101</v>
      </c>
      <c r="H256" s="8">
        <v>0</v>
      </c>
      <c r="I256" s="8">
        <v>-101</v>
      </c>
      <c r="J256" s="8">
        <v>0</v>
      </c>
      <c r="K256" s="8" t="s">
        <v>19</v>
      </c>
      <c r="L256" s="8" t="s">
        <v>5</v>
      </c>
      <c r="M256" s="8">
        <v>2026</v>
      </c>
      <c r="N256" s="8">
        <v>1</v>
      </c>
      <c r="O256" s="8"/>
    </row>
    <row r="257" spans="2:15" x14ac:dyDescent="0.25">
      <c r="B257" s="8">
        <v>249</v>
      </c>
      <c r="C257" s="8" t="s">
        <v>122</v>
      </c>
      <c r="D257" s="10">
        <v>46038</v>
      </c>
      <c r="E257" s="8" t="s">
        <v>268</v>
      </c>
      <c r="F257" s="8" t="s">
        <v>21</v>
      </c>
      <c r="G257" s="8">
        <v>95</v>
      </c>
      <c r="H257" s="8">
        <v>0</v>
      </c>
      <c r="I257" s="8">
        <v>-95</v>
      </c>
      <c r="J257" s="8">
        <v>0</v>
      </c>
      <c r="K257" s="8" t="s">
        <v>22</v>
      </c>
      <c r="L257" s="8" t="s">
        <v>5</v>
      </c>
      <c r="M257" s="8">
        <v>2026</v>
      </c>
      <c r="N257" s="8">
        <v>1</v>
      </c>
      <c r="O257" s="8"/>
    </row>
    <row r="258" spans="2:15" x14ac:dyDescent="0.25">
      <c r="B258" s="8">
        <v>250</v>
      </c>
      <c r="C258" s="8" t="s">
        <v>122</v>
      </c>
      <c r="D258" s="10">
        <v>46039</v>
      </c>
      <c r="E258" s="8" t="s">
        <v>146</v>
      </c>
      <c r="F258" s="8" t="s">
        <v>25</v>
      </c>
      <c r="G258" s="8">
        <v>170</v>
      </c>
      <c r="H258" s="8">
        <v>0</v>
      </c>
      <c r="I258" s="8">
        <v>-170</v>
      </c>
      <c r="J258" s="8">
        <v>0</v>
      </c>
      <c r="K258" s="8" t="s">
        <v>22</v>
      </c>
      <c r="L258" s="8" t="s">
        <v>5</v>
      </c>
      <c r="M258" s="8">
        <v>2026</v>
      </c>
      <c r="N258" s="8">
        <v>1</v>
      </c>
      <c r="O258" s="8"/>
    </row>
    <row r="259" spans="2:15" x14ac:dyDescent="0.25">
      <c r="B259" s="8">
        <v>251</v>
      </c>
      <c r="C259" s="8" t="s">
        <v>122</v>
      </c>
      <c r="D259" s="10">
        <v>46040</v>
      </c>
      <c r="E259" s="8" t="s">
        <v>274</v>
      </c>
      <c r="F259" s="8" t="s">
        <v>15</v>
      </c>
      <c r="G259" s="8">
        <v>300</v>
      </c>
      <c r="H259" s="8">
        <v>0</v>
      </c>
      <c r="I259" s="8">
        <v>-300</v>
      </c>
      <c r="J259" s="8">
        <v>0</v>
      </c>
      <c r="K259" s="8" t="s">
        <v>16</v>
      </c>
      <c r="L259" s="8" t="s">
        <v>5</v>
      </c>
      <c r="M259" s="8">
        <v>2026</v>
      </c>
      <c r="N259" s="8">
        <v>1</v>
      </c>
      <c r="O259" s="8"/>
    </row>
    <row r="260" spans="2:15" x14ac:dyDescent="0.25">
      <c r="B260" s="8">
        <v>252</v>
      </c>
      <c r="C260" s="8" t="s">
        <v>122</v>
      </c>
      <c r="D260" s="10">
        <v>46041</v>
      </c>
      <c r="E260" s="8" t="s">
        <v>243</v>
      </c>
      <c r="F260" s="8" t="s">
        <v>21</v>
      </c>
      <c r="G260" s="8">
        <v>20</v>
      </c>
      <c r="H260" s="8">
        <v>0</v>
      </c>
      <c r="I260" s="8">
        <v>-20</v>
      </c>
      <c r="J260" s="8">
        <v>0</v>
      </c>
      <c r="K260" s="8" t="s">
        <v>22</v>
      </c>
      <c r="L260" s="8" t="s">
        <v>5</v>
      </c>
      <c r="M260" s="8">
        <v>2026</v>
      </c>
      <c r="N260" s="8">
        <v>1</v>
      </c>
      <c r="O260" s="8"/>
    </row>
    <row r="261" spans="2:15" x14ac:dyDescent="0.25">
      <c r="B261" s="8">
        <v>253</v>
      </c>
      <c r="C261" s="8" t="s">
        <v>122</v>
      </c>
      <c r="D261" s="10">
        <v>46042</v>
      </c>
      <c r="E261" s="8" t="s">
        <v>144</v>
      </c>
      <c r="F261" s="8" t="s">
        <v>21</v>
      </c>
      <c r="G261" s="8">
        <v>180</v>
      </c>
      <c r="H261" s="8">
        <v>0</v>
      </c>
      <c r="I261" s="8">
        <v>-180</v>
      </c>
      <c r="J261" s="8">
        <v>0</v>
      </c>
      <c r="K261" s="8" t="s">
        <v>22</v>
      </c>
      <c r="L261" s="8" t="s">
        <v>5</v>
      </c>
      <c r="M261" s="8">
        <v>2026</v>
      </c>
      <c r="N261" s="8">
        <v>1</v>
      </c>
      <c r="O261" s="8"/>
    </row>
    <row r="262" spans="2:15" x14ac:dyDescent="0.25">
      <c r="B262" s="8">
        <v>254</v>
      </c>
      <c r="C262" s="8" t="s">
        <v>122</v>
      </c>
      <c r="D262" s="10">
        <v>46043</v>
      </c>
      <c r="E262" s="8" t="s">
        <v>276</v>
      </c>
      <c r="F262" s="8" t="s">
        <v>7</v>
      </c>
      <c r="G262" s="8">
        <v>300</v>
      </c>
      <c r="H262" s="8">
        <v>0</v>
      </c>
      <c r="I262" s="8">
        <v>-300</v>
      </c>
      <c r="J262" s="8">
        <v>0</v>
      </c>
      <c r="K262" s="8" t="s">
        <v>4</v>
      </c>
      <c r="L262" s="8" t="s">
        <v>5</v>
      </c>
      <c r="M262" s="8">
        <v>2026</v>
      </c>
      <c r="N262" s="8">
        <v>1</v>
      </c>
      <c r="O262" s="8"/>
    </row>
    <row r="263" spans="2:15" x14ac:dyDescent="0.25">
      <c r="B263" s="8">
        <v>255</v>
      </c>
      <c r="C263" s="8" t="s">
        <v>122</v>
      </c>
      <c r="D263" s="10">
        <v>46043</v>
      </c>
      <c r="E263" s="8" t="s">
        <v>277</v>
      </c>
      <c r="F263" s="8" t="s">
        <v>25</v>
      </c>
      <c r="G263" s="8">
        <v>170</v>
      </c>
      <c r="H263" s="8">
        <v>0</v>
      </c>
      <c r="I263" s="8">
        <v>-170</v>
      </c>
      <c r="J263" s="8">
        <v>0</v>
      </c>
      <c r="K263" s="8" t="s">
        <v>22</v>
      </c>
      <c r="L263" s="8" t="s">
        <v>5</v>
      </c>
      <c r="M263" s="8">
        <v>2026</v>
      </c>
      <c r="N263" s="8">
        <v>1</v>
      </c>
      <c r="O263" s="8"/>
    </row>
    <row r="264" spans="2:15" x14ac:dyDescent="0.25">
      <c r="B264" s="8">
        <v>256</v>
      </c>
      <c r="C264" s="8" t="s">
        <v>122</v>
      </c>
      <c r="D264" s="10">
        <v>46043</v>
      </c>
      <c r="E264" s="8" t="s">
        <v>207</v>
      </c>
      <c r="F264" s="8" t="s">
        <v>25</v>
      </c>
      <c r="G264" s="8">
        <v>419</v>
      </c>
      <c r="H264" s="8">
        <v>0</v>
      </c>
      <c r="I264" s="8">
        <v>-419</v>
      </c>
      <c r="J264" s="8">
        <v>0</v>
      </c>
      <c r="K264" s="8" t="s">
        <v>22</v>
      </c>
      <c r="L264" s="8" t="s">
        <v>5</v>
      </c>
      <c r="M264" s="8">
        <v>2026</v>
      </c>
      <c r="N264" s="8">
        <v>1</v>
      </c>
      <c r="O264" s="8"/>
    </row>
    <row r="265" spans="2:15" x14ac:dyDescent="0.25">
      <c r="B265" s="8">
        <v>257</v>
      </c>
      <c r="C265" s="8" t="s">
        <v>123</v>
      </c>
      <c r="D265" s="10">
        <v>46043</v>
      </c>
      <c r="E265" s="8" t="s">
        <v>286</v>
      </c>
      <c r="F265" s="8" t="s">
        <v>218</v>
      </c>
      <c r="G265" s="8">
        <v>1500</v>
      </c>
      <c r="H265" s="8">
        <v>0</v>
      </c>
      <c r="I265" s="8">
        <v>-1500</v>
      </c>
      <c r="J265" s="8">
        <v>0</v>
      </c>
      <c r="K265" s="8" t="s">
        <v>19</v>
      </c>
      <c r="L265" s="8" t="s">
        <v>5</v>
      </c>
      <c r="M265" s="8">
        <v>2026</v>
      </c>
      <c r="N265" s="8">
        <v>1</v>
      </c>
      <c r="O265" s="8"/>
    </row>
    <row r="266" spans="2:15" x14ac:dyDescent="0.25">
      <c r="B266" s="8">
        <v>258</v>
      </c>
      <c r="C266" s="8" t="s">
        <v>123</v>
      </c>
      <c r="D266" s="10">
        <v>46043</v>
      </c>
      <c r="E266" s="8" t="s">
        <v>287</v>
      </c>
      <c r="F266" s="8" t="s">
        <v>40</v>
      </c>
      <c r="G266" s="8">
        <v>1500</v>
      </c>
      <c r="H266" s="8">
        <v>0</v>
      </c>
      <c r="I266" s="8">
        <v>-1500</v>
      </c>
      <c r="J266" s="8">
        <v>0</v>
      </c>
      <c r="K266" s="8" t="s">
        <v>41</v>
      </c>
      <c r="L266" s="8" t="s">
        <v>5</v>
      </c>
      <c r="M266" s="8">
        <v>2026</v>
      </c>
      <c r="N266" s="8">
        <v>1</v>
      </c>
      <c r="O266" s="8"/>
    </row>
    <row r="267" spans="2:15" x14ac:dyDescent="0.25">
      <c r="B267" s="8">
        <v>259</v>
      </c>
      <c r="C267" s="8" t="s">
        <v>122</v>
      </c>
      <c r="D267" s="10">
        <v>46045</v>
      </c>
      <c r="E267" s="8" t="s">
        <v>270</v>
      </c>
      <c r="F267" s="8" t="s">
        <v>10</v>
      </c>
      <c r="G267" s="8">
        <v>440</v>
      </c>
      <c r="H267" s="8">
        <v>0</v>
      </c>
      <c r="I267" s="8">
        <v>-440</v>
      </c>
      <c r="J267" s="8">
        <v>0</v>
      </c>
      <c r="K267" s="8" t="s">
        <v>9</v>
      </c>
      <c r="L267" s="8" t="s">
        <v>5</v>
      </c>
      <c r="M267" s="8">
        <v>2026</v>
      </c>
      <c r="N267" s="8">
        <v>1</v>
      </c>
      <c r="O267" s="8"/>
    </row>
    <row r="268" spans="2:15" x14ac:dyDescent="0.25">
      <c r="B268" s="8">
        <v>260</v>
      </c>
      <c r="C268" s="8" t="s">
        <v>123</v>
      </c>
      <c r="D268" s="10">
        <v>46045</v>
      </c>
      <c r="E268" s="8" t="s">
        <v>288</v>
      </c>
      <c r="F268" s="8" t="s">
        <v>25</v>
      </c>
      <c r="G268" s="8">
        <v>50</v>
      </c>
      <c r="H268" s="8">
        <v>0</v>
      </c>
      <c r="I268" s="8">
        <v>-50</v>
      </c>
      <c r="J268" s="8">
        <v>0</v>
      </c>
      <c r="K268" s="8" t="s">
        <v>22</v>
      </c>
      <c r="L268" s="8" t="s">
        <v>5</v>
      </c>
      <c r="M268" s="8">
        <v>2026</v>
      </c>
      <c r="N268" s="8">
        <v>1</v>
      </c>
      <c r="O268" s="8"/>
    </row>
    <row r="269" spans="2:15" x14ac:dyDescent="0.25">
      <c r="B269" s="8">
        <v>261</v>
      </c>
      <c r="C269" s="8" t="s">
        <v>122</v>
      </c>
      <c r="D269" s="10">
        <v>46046</v>
      </c>
      <c r="E269" s="8" t="s">
        <v>271</v>
      </c>
      <c r="F269" s="8" t="s">
        <v>23</v>
      </c>
      <c r="G269" s="8">
        <v>267</v>
      </c>
      <c r="H269" s="8">
        <v>0</v>
      </c>
      <c r="I269" s="8">
        <v>-267</v>
      </c>
      <c r="J269" s="8">
        <v>0</v>
      </c>
      <c r="K269" s="8" t="s">
        <v>22</v>
      </c>
      <c r="L269" s="8" t="s">
        <v>5</v>
      </c>
      <c r="M269" s="8">
        <v>2026</v>
      </c>
      <c r="N269" s="8">
        <v>1</v>
      </c>
      <c r="O269" s="8"/>
    </row>
    <row r="270" spans="2:15" x14ac:dyDescent="0.25">
      <c r="B270" s="8">
        <v>262</v>
      </c>
      <c r="C270" s="8" t="s">
        <v>123</v>
      </c>
      <c r="D270" s="10">
        <v>46046</v>
      </c>
      <c r="E270" s="8" t="s">
        <v>203</v>
      </c>
      <c r="F270" s="8" t="s">
        <v>25</v>
      </c>
      <c r="G270" s="8">
        <v>500</v>
      </c>
      <c r="H270" s="8">
        <v>0</v>
      </c>
      <c r="I270" s="8">
        <v>-500</v>
      </c>
      <c r="J270" s="8">
        <v>0</v>
      </c>
      <c r="K270" s="8" t="s">
        <v>22</v>
      </c>
      <c r="L270" s="8" t="s">
        <v>5</v>
      </c>
      <c r="M270" s="8">
        <v>2026</v>
      </c>
      <c r="N270" s="8">
        <v>1</v>
      </c>
      <c r="O270" s="8"/>
    </row>
    <row r="271" spans="2:15" x14ac:dyDescent="0.25">
      <c r="B271" s="8">
        <v>263</v>
      </c>
      <c r="C271" s="8" t="s">
        <v>123</v>
      </c>
      <c r="D271" s="10">
        <v>46046</v>
      </c>
      <c r="E271" s="8" t="s">
        <v>283</v>
      </c>
      <c r="F271" s="8" t="s">
        <v>21</v>
      </c>
      <c r="G271" s="8">
        <v>500</v>
      </c>
      <c r="H271" s="8">
        <v>0</v>
      </c>
      <c r="I271" s="8">
        <v>-500</v>
      </c>
      <c r="J271" s="8">
        <v>0</v>
      </c>
      <c r="K271" s="8" t="s">
        <v>22</v>
      </c>
      <c r="L271" s="8" t="s">
        <v>5</v>
      </c>
      <c r="M271" s="8">
        <v>2026</v>
      </c>
      <c r="N271" s="8">
        <v>1</v>
      </c>
      <c r="O271" s="8"/>
    </row>
    <row r="272" spans="2:15" x14ac:dyDescent="0.25">
      <c r="B272" s="8">
        <v>264</v>
      </c>
      <c r="C272" s="8" t="s">
        <v>123</v>
      </c>
      <c r="D272" s="10">
        <v>46046</v>
      </c>
      <c r="E272" s="8" t="s">
        <v>284</v>
      </c>
      <c r="F272" s="8" t="s">
        <v>21</v>
      </c>
      <c r="G272" s="8">
        <v>1000</v>
      </c>
      <c r="H272" s="8">
        <v>0</v>
      </c>
      <c r="I272" s="8">
        <v>-1000</v>
      </c>
      <c r="J272" s="8">
        <v>0</v>
      </c>
      <c r="K272" s="8" t="s">
        <v>22</v>
      </c>
      <c r="L272" s="8" t="s">
        <v>5</v>
      </c>
      <c r="M272" s="8">
        <v>2026</v>
      </c>
      <c r="N272" s="8">
        <v>1</v>
      </c>
      <c r="O272" s="8"/>
    </row>
    <row r="273" spans="2:15" x14ac:dyDescent="0.25">
      <c r="B273" s="8">
        <v>265</v>
      </c>
      <c r="C273" s="8" t="s">
        <v>123</v>
      </c>
      <c r="D273" s="10">
        <v>46046</v>
      </c>
      <c r="E273" s="8" t="s">
        <v>285</v>
      </c>
      <c r="F273" s="8" t="s">
        <v>7</v>
      </c>
      <c r="G273" s="8">
        <v>1000</v>
      </c>
      <c r="H273" s="8">
        <v>0</v>
      </c>
      <c r="I273" s="8">
        <v>-1000</v>
      </c>
      <c r="J273" s="8">
        <v>0</v>
      </c>
      <c r="K273" s="8" t="s">
        <v>4</v>
      </c>
      <c r="L273" s="8" t="s">
        <v>5</v>
      </c>
      <c r="M273" s="8">
        <v>2026</v>
      </c>
      <c r="N273" s="8">
        <v>1</v>
      </c>
      <c r="O273" s="8"/>
    </row>
    <row r="274" spans="2:15" x14ac:dyDescent="0.25">
      <c r="B274" s="8">
        <v>266</v>
      </c>
      <c r="C274" s="8" t="s">
        <v>123</v>
      </c>
      <c r="D274" s="10">
        <v>46046</v>
      </c>
      <c r="E274" s="8" t="s">
        <v>285</v>
      </c>
      <c r="F274" s="8" t="s">
        <v>10</v>
      </c>
      <c r="G274" s="8">
        <v>500</v>
      </c>
      <c r="H274" s="8">
        <v>0</v>
      </c>
      <c r="I274" s="8">
        <v>-500</v>
      </c>
      <c r="J274" s="8">
        <v>0</v>
      </c>
      <c r="K274" s="8" t="s">
        <v>9</v>
      </c>
      <c r="L274" s="8" t="s">
        <v>5</v>
      </c>
      <c r="M274" s="8">
        <v>2026</v>
      </c>
      <c r="N274" s="8">
        <v>1</v>
      </c>
      <c r="O274" s="8"/>
    </row>
    <row r="275" spans="2:15" x14ac:dyDescent="0.25">
      <c r="B275" s="8">
        <v>267</v>
      </c>
      <c r="C275" s="8" t="s">
        <v>123</v>
      </c>
      <c r="D275" s="10">
        <v>46046</v>
      </c>
      <c r="E275" s="8" t="s">
        <v>288</v>
      </c>
      <c r="F275" s="8" t="s">
        <v>25</v>
      </c>
      <c r="G275" s="8">
        <v>25</v>
      </c>
      <c r="H275" s="8">
        <v>0</v>
      </c>
      <c r="I275" s="8">
        <v>-25</v>
      </c>
      <c r="J275" s="8">
        <v>0</v>
      </c>
      <c r="K275" s="8" t="s">
        <v>22</v>
      </c>
      <c r="L275" s="8" t="s">
        <v>5</v>
      </c>
      <c r="M275" s="8">
        <v>2026</v>
      </c>
      <c r="N275" s="8">
        <v>1</v>
      </c>
      <c r="O275" s="8"/>
    </row>
    <row r="276" spans="2:15" x14ac:dyDescent="0.25">
      <c r="B276" s="8">
        <v>268</v>
      </c>
      <c r="C276" s="8" t="s">
        <v>122</v>
      </c>
      <c r="D276" s="10">
        <v>46047</v>
      </c>
      <c r="E276" s="8" t="s">
        <v>278</v>
      </c>
      <c r="F276" s="8" t="s">
        <v>7</v>
      </c>
      <c r="G276" s="8">
        <v>230</v>
      </c>
      <c r="H276" s="8">
        <v>0</v>
      </c>
      <c r="I276" s="8">
        <v>-230</v>
      </c>
      <c r="J276" s="8">
        <v>0</v>
      </c>
      <c r="K276" s="8" t="s">
        <v>4</v>
      </c>
      <c r="L276" s="8" t="s">
        <v>5</v>
      </c>
      <c r="M276" s="8">
        <v>2026</v>
      </c>
      <c r="N276" s="8">
        <v>1</v>
      </c>
      <c r="O276" s="8"/>
    </row>
    <row r="277" spans="2:15" x14ac:dyDescent="0.25">
      <c r="B277" s="8">
        <v>269</v>
      </c>
      <c r="C277" s="8" t="s">
        <v>122</v>
      </c>
      <c r="D277" s="10">
        <v>46048</v>
      </c>
      <c r="E277" s="8" t="s">
        <v>159</v>
      </c>
      <c r="F277" s="8" t="s">
        <v>25</v>
      </c>
      <c r="G277" s="8">
        <v>151</v>
      </c>
      <c r="H277" s="8">
        <v>0</v>
      </c>
      <c r="I277" s="8">
        <v>-151</v>
      </c>
      <c r="J277" s="8">
        <v>0</v>
      </c>
      <c r="K277" s="8" t="s">
        <v>22</v>
      </c>
      <c r="L277" s="8" t="s">
        <v>5</v>
      </c>
      <c r="M277" s="8">
        <v>2026</v>
      </c>
      <c r="N277" s="8">
        <v>1</v>
      </c>
      <c r="O277" s="8"/>
    </row>
    <row r="278" spans="2:15" x14ac:dyDescent="0.25">
      <c r="B278" s="8">
        <v>270</v>
      </c>
      <c r="C278" s="8" t="s">
        <v>122</v>
      </c>
      <c r="D278" s="10">
        <v>46048</v>
      </c>
      <c r="E278" s="8" t="s">
        <v>279</v>
      </c>
      <c r="F278" s="8" t="s">
        <v>25</v>
      </c>
      <c r="G278" s="8">
        <v>490</v>
      </c>
      <c r="H278" s="8">
        <v>0</v>
      </c>
      <c r="I278" s="8">
        <v>-490</v>
      </c>
      <c r="J278" s="8">
        <v>0</v>
      </c>
      <c r="K278" s="8" t="s">
        <v>22</v>
      </c>
      <c r="L278" s="8" t="s">
        <v>5</v>
      </c>
      <c r="M278" s="8">
        <v>2026</v>
      </c>
      <c r="N278" s="8">
        <v>1</v>
      </c>
      <c r="O278" s="8"/>
    </row>
    <row r="279" spans="2:15" x14ac:dyDescent="0.25">
      <c r="B279" s="8">
        <v>271</v>
      </c>
      <c r="C279" s="8" t="s">
        <v>122</v>
      </c>
      <c r="D279" s="10">
        <v>46049</v>
      </c>
      <c r="E279" s="8" t="s">
        <v>243</v>
      </c>
      <c r="F279" s="8" t="s">
        <v>21</v>
      </c>
      <c r="G279" s="8">
        <v>55</v>
      </c>
      <c r="H279" s="8">
        <v>0</v>
      </c>
      <c r="I279" s="8">
        <v>-55</v>
      </c>
      <c r="J279" s="8">
        <v>0</v>
      </c>
      <c r="K279" s="8" t="s">
        <v>22</v>
      </c>
      <c r="L279" s="8" t="s">
        <v>5</v>
      </c>
      <c r="M279" s="8">
        <v>2026</v>
      </c>
      <c r="N279" s="8">
        <v>1</v>
      </c>
      <c r="O279" s="8"/>
    </row>
    <row r="280" spans="2:15" x14ac:dyDescent="0.25">
      <c r="B280" s="8">
        <v>272</v>
      </c>
      <c r="C280" s="8" t="s">
        <v>122</v>
      </c>
      <c r="D280" s="10">
        <v>46049</v>
      </c>
      <c r="E280" s="8" t="s">
        <v>270</v>
      </c>
      <c r="F280" s="8" t="s">
        <v>10</v>
      </c>
      <c r="G280" s="8">
        <v>430</v>
      </c>
      <c r="H280" s="8">
        <v>0</v>
      </c>
      <c r="I280" s="8">
        <v>-430</v>
      </c>
      <c r="J280" s="8">
        <v>0</v>
      </c>
      <c r="K280" s="8" t="s">
        <v>9</v>
      </c>
      <c r="L280" s="8" t="s">
        <v>5</v>
      </c>
      <c r="M280" s="8">
        <v>2026</v>
      </c>
      <c r="N280" s="8">
        <v>1</v>
      </c>
      <c r="O280" s="8"/>
    </row>
    <row r="281" spans="2:15" x14ac:dyDescent="0.25">
      <c r="B281" s="8">
        <v>273</v>
      </c>
      <c r="C281" s="8" t="s">
        <v>122</v>
      </c>
      <c r="D281" s="10">
        <v>46049</v>
      </c>
      <c r="E281" s="8" t="s">
        <v>280</v>
      </c>
      <c r="F281" s="8" t="s">
        <v>218</v>
      </c>
      <c r="G281" s="8">
        <v>989.7</v>
      </c>
      <c r="H281" s="8">
        <v>0</v>
      </c>
      <c r="I281" s="8">
        <v>-989.7</v>
      </c>
      <c r="J281" s="8">
        <v>0</v>
      </c>
      <c r="K281" s="8" t="s">
        <v>19</v>
      </c>
      <c r="L281" s="8" t="s">
        <v>5</v>
      </c>
      <c r="M281" s="8">
        <v>2026</v>
      </c>
      <c r="N281" s="8">
        <v>1</v>
      </c>
      <c r="O281" s="8"/>
    </row>
    <row r="282" spans="2:15" x14ac:dyDescent="0.25">
      <c r="B282" s="8">
        <v>274</v>
      </c>
      <c r="C282" s="8" t="s">
        <v>122</v>
      </c>
      <c r="D282" s="10">
        <v>46049</v>
      </c>
      <c r="E282" s="8" t="s">
        <v>281</v>
      </c>
      <c r="F282" s="8" t="s">
        <v>25</v>
      </c>
      <c r="G282" s="8">
        <v>519</v>
      </c>
      <c r="H282" s="8">
        <v>0</v>
      </c>
      <c r="I282" s="8">
        <v>-519</v>
      </c>
      <c r="J282" s="8">
        <v>0</v>
      </c>
      <c r="K282" s="8" t="s">
        <v>22</v>
      </c>
      <c r="L282" s="8" t="s">
        <v>5</v>
      </c>
      <c r="M282" s="8">
        <v>2026</v>
      </c>
      <c r="N282" s="8">
        <v>1</v>
      </c>
      <c r="O282" s="8"/>
    </row>
    <row r="283" spans="2:15" x14ac:dyDescent="0.25">
      <c r="B283" s="8">
        <v>275</v>
      </c>
      <c r="C283" s="8" t="s">
        <v>122</v>
      </c>
      <c r="D283" s="10">
        <v>46049</v>
      </c>
      <c r="E283" s="8" t="s">
        <v>144</v>
      </c>
      <c r="F283" s="8" t="s">
        <v>21</v>
      </c>
      <c r="G283" s="8">
        <v>340</v>
      </c>
      <c r="H283" s="8">
        <v>0</v>
      </c>
      <c r="I283" s="8">
        <v>-340</v>
      </c>
      <c r="J283" s="8">
        <v>0</v>
      </c>
      <c r="K283" s="8" t="s">
        <v>22</v>
      </c>
      <c r="L283" s="8" t="s">
        <v>5</v>
      </c>
      <c r="M283" s="8">
        <v>2026</v>
      </c>
      <c r="N283" s="8">
        <v>1</v>
      </c>
      <c r="O283" s="8"/>
    </row>
    <row r="284" spans="2:15" x14ac:dyDescent="0.25">
      <c r="B284" s="8">
        <v>276</v>
      </c>
      <c r="C284" s="8" t="s">
        <v>122</v>
      </c>
      <c r="D284" s="10">
        <v>46049</v>
      </c>
      <c r="E284" s="8" t="s">
        <v>282</v>
      </c>
      <c r="F284" s="8" t="s">
        <v>7</v>
      </c>
      <c r="G284" s="8">
        <v>160</v>
      </c>
      <c r="H284" s="8">
        <v>0</v>
      </c>
      <c r="I284" s="8">
        <v>-160</v>
      </c>
      <c r="J284" s="8">
        <v>0</v>
      </c>
      <c r="K284" s="8" t="s">
        <v>4</v>
      </c>
      <c r="L284" s="8" t="s">
        <v>5</v>
      </c>
      <c r="M284" s="8">
        <v>2026</v>
      </c>
      <c r="N284" s="8">
        <v>1</v>
      </c>
      <c r="O284" s="8"/>
    </row>
    <row r="285" spans="2:15" x14ac:dyDescent="0.25">
      <c r="B285" s="8">
        <v>277</v>
      </c>
      <c r="C285" s="8" t="s">
        <v>122</v>
      </c>
      <c r="D285" s="10">
        <v>46049</v>
      </c>
      <c r="E285" s="8" t="s">
        <v>135</v>
      </c>
      <c r="F285" s="8" t="s">
        <v>25</v>
      </c>
      <c r="G285" s="8">
        <v>60</v>
      </c>
      <c r="H285" s="8">
        <v>0</v>
      </c>
      <c r="I285" s="8">
        <v>-60</v>
      </c>
      <c r="J285" s="8">
        <v>0</v>
      </c>
      <c r="K285" s="8" t="s">
        <v>22</v>
      </c>
      <c r="L285" s="8" t="s">
        <v>5</v>
      </c>
      <c r="M285" s="8">
        <v>2026</v>
      </c>
      <c r="N285" s="8">
        <v>1</v>
      </c>
      <c r="O285" s="8"/>
    </row>
    <row r="286" spans="2:15" x14ac:dyDescent="0.25">
      <c r="B286" s="8">
        <v>278</v>
      </c>
      <c r="C286" s="8" t="s">
        <v>122</v>
      </c>
      <c r="D286" s="10">
        <v>46050</v>
      </c>
      <c r="E286" s="8" t="s">
        <v>141</v>
      </c>
      <c r="F286" s="8" t="s">
        <v>21</v>
      </c>
      <c r="G286" s="8">
        <v>105</v>
      </c>
      <c r="H286" s="8">
        <v>0</v>
      </c>
      <c r="I286" s="8">
        <v>-105</v>
      </c>
      <c r="J286" s="8">
        <v>0</v>
      </c>
      <c r="K286" s="8" t="s">
        <v>22</v>
      </c>
      <c r="L286" s="8" t="s">
        <v>5</v>
      </c>
      <c r="M286" s="8">
        <v>2026</v>
      </c>
      <c r="N286" s="8">
        <v>1</v>
      </c>
      <c r="O286" s="8"/>
    </row>
    <row r="287" spans="2:15" x14ac:dyDescent="0.25">
      <c r="B287" s="8">
        <v>279</v>
      </c>
      <c r="C287" s="8" t="s">
        <v>122</v>
      </c>
      <c r="D287" s="10">
        <v>46051</v>
      </c>
      <c r="E287" s="8" t="s">
        <v>159</v>
      </c>
      <c r="F287" s="8" t="s">
        <v>25</v>
      </c>
      <c r="G287" s="8">
        <v>195</v>
      </c>
      <c r="H287" s="8">
        <v>0</v>
      </c>
      <c r="I287" s="8">
        <v>-195</v>
      </c>
      <c r="J287" s="8">
        <v>0</v>
      </c>
      <c r="K287" s="8" t="s">
        <v>22</v>
      </c>
      <c r="L287" s="8" t="s">
        <v>5</v>
      </c>
      <c r="M287" s="8">
        <v>2026</v>
      </c>
      <c r="N287" s="8">
        <v>1</v>
      </c>
      <c r="O287" s="8"/>
    </row>
    <row r="288" spans="2:15" x14ac:dyDescent="0.25">
      <c r="B288" s="8">
        <v>280</v>
      </c>
      <c r="C288" s="8" t="s">
        <v>122</v>
      </c>
      <c r="D288" s="10">
        <v>46054</v>
      </c>
      <c r="E288" s="8" t="s">
        <v>272</v>
      </c>
      <c r="F288" s="8" t="s">
        <v>37</v>
      </c>
      <c r="G288" s="8">
        <v>10496.74</v>
      </c>
      <c r="H288" s="8">
        <v>0</v>
      </c>
      <c r="I288" s="8">
        <v>-10496.74</v>
      </c>
      <c r="J288" s="8">
        <v>0</v>
      </c>
      <c r="K288" s="8" t="s">
        <v>38</v>
      </c>
      <c r="L288" s="8" t="s">
        <v>5</v>
      </c>
      <c r="M288" s="8">
        <v>2026</v>
      </c>
      <c r="N288" s="8">
        <v>2</v>
      </c>
      <c r="O288" s="8"/>
    </row>
    <row r="289" spans="2:15" x14ac:dyDescent="0.25">
      <c r="B289" s="8">
        <v>281</v>
      </c>
      <c r="C289" s="8" t="s">
        <v>122</v>
      </c>
      <c r="D289" s="10">
        <v>46054</v>
      </c>
      <c r="E289" s="8" t="s">
        <v>272</v>
      </c>
      <c r="F289" s="8" t="s">
        <v>37</v>
      </c>
      <c r="G289" s="8">
        <v>184</v>
      </c>
      <c r="H289" s="8">
        <v>0</v>
      </c>
      <c r="I289" s="8">
        <v>-184</v>
      </c>
      <c r="J289" s="8">
        <v>0</v>
      </c>
      <c r="K289" s="8" t="s">
        <v>38</v>
      </c>
      <c r="L289" s="8" t="s">
        <v>5</v>
      </c>
      <c r="M289" s="8">
        <v>2026</v>
      </c>
      <c r="N289" s="8">
        <v>2</v>
      </c>
      <c r="O289" s="8"/>
    </row>
    <row r="290" spans="2:15" x14ac:dyDescent="0.25">
      <c r="B290" s="8">
        <v>282</v>
      </c>
      <c r="C290" s="8" t="s">
        <v>122</v>
      </c>
      <c r="D290" s="10">
        <v>46054</v>
      </c>
      <c r="E290" s="8" t="s">
        <v>272</v>
      </c>
      <c r="F290" s="8" t="s">
        <v>37</v>
      </c>
      <c r="G290" s="8">
        <v>1000</v>
      </c>
      <c r="H290" s="8">
        <v>0</v>
      </c>
      <c r="I290" s="8">
        <v>-1000</v>
      </c>
      <c r="J290" s="8">
        <v>0</v>
      </c>
      <c r="K290" s="8" t="s">
        <v>38</v>
      </c>
      <c r="L290" s="8" t="s">
        <v>5</v>
      </c>
      <c r="M290" s="8">
        <v>2026</v>
      </c>
      <c r="N290" s="8">
        <v>2</v>
      </c>
      <c r="O290" s="8"/>
    </row>
    <row r="291" spans="2:15" x14ac:dyDescent="0.25">
      <c r="B291" s="8">
        <v>283</v>
      </c>
      <c r="C291" s="8" t="s">
        <v>122</v>
      </c>
      <c r="D291" s="10">
        <v>46054</v>
      </c>
      <c r="E291" s="8" t="s">
        <v>272</v>
      </c>
      <c r="F291" s="8" t="s">
        <v>37</v>
      </c>
      <c r="G291" s="8">
        <v>19950</v>
      </c>
      <c r="H291" s="8">
        <v>0</v>
      </c>
      <c r="I291" s="8">
        <v>-19950</v>
      </c>
      <c r="J291" s="8">
        <v>0</v>
      </c>
      <c r="K291" s="8" t="s">
        <v>38</v>
      </c>
      <c r="L291" s="8" t="s">
        <v>5</v>
      </c>
      <c r="M291" s="8">
        <v>2026</v>
      </c>
      <c r="N291" s="8">
        <v>2</v>
      </c>
      <c r="O291" s="8"/>
    </row>
    <row r="292" spans="2:15" x14ac:dyDescent="0.25">
      <c r="B292" s="8">
        <v>284</v>
      </c>
      <c r="C292" s="8" t="s">
        <v>123</v>
      </c>
      <c r="D292" s="10">
        <v>46054</v>
      </c>
      <c r="E292" s="8" t="s">
        <v>136</v>
      </c>
      <c r="F292" s="8" t="s">
        <v>21</v>
      </c>
      <c r="G292" s="8">
        <v>1297.7</v>
      </c>
      <c r="H292" s="8">
        <v>0</v>
      </c>
      <c r="I292" s="8">
        <v>-1297.7</v>
      </c>
      <c r="J292" s="8">
        <v>0</v>
      </c>
      <c r="K292" s="8" t="s">
        <v>22</v>
      </c>
      <c r="L292" s="8" t="s">
        <v>5</v>
      </c>
      <c r="M292" s="8">
        <v>2026</v>
      </c>
      <c r="N292" s="8">
        <v>2</v>
      </c>
      <c r="O292" s="8"/>
    </row>
    <row r="293" spans="2:15" x14ac:dyDescent="0.25">
      <c r="B293" s="8">
        <v>285</v>
      </c>
      <c r="C293" s="8" t="s">
        <v>123</v>
      </c>
      <c r="D293" s="10">
        <v>46054</v>
      </c>
      <c r="E293" s="8" t="s">
        <v>289</v>
      </c>
      <c r="F293" s="8" t="s">
        <v>7</v>
      </c>
      <c r="G293" s="8">
        <v>482.52</v>
      </c>
      <c r="H293" s="8">
        <v>0</v>
      </c>
      <c r="I293" s="8">
        <v>-482.52</v>
      </c>
      <c r="J293" s="8">
        <v>0</v>
      </c>
      <c r="K293" s="8" t="s">
        <v>4</v>
      </c>
      <c r="L293" s="8" t="s">
        <v>5</v>
      </c>
      <c r="M293" s="8">
        <v>2026</v>
      </c>
      <c r="N293" s="8">
        <v>2</v>
      </c>
      <c r="O293" s="8"/>
    </row>
    <row r="294" spans="2:15" x14ac:dyDescent="0.25">
      <c r="B294" s="8">
        <v>286</v>
      </c>
      <c r="C294" s="8" t="s">
        <v>123</v>
      </c>
      <c r="D294" s="10">
        <v>46054</v>
      </c>
      <c r="E294" s="8" t="s">
        <v>209</v>
      </c>
      <c r="F294" s="8" t="s">
        <v>25</v>
      </c>
      <c r="G294" s="8">
        <v>90</v>
      </c>
      <c r="H294" s="8">
        <v>0</v>
      </c>
      <c r="I294" s="8">
        <v>-90</v>
      </c>
      <c r="J294" s="8">
        <v>0</v>
      </c>
      <c r="K294" s="8" t="s">
        <v>22</v>
      </c>
      <c r="L294" s="8" t="s">
        <v>5</v>
      </c>
      <c r="M294" s="8">
        <v>2026</v>
      </c>
      <c r="N294" s="8">
        <v>2</v>
      </c>
      <c r="O294" s="8"/>
    </row>
    <row r="295" spans="2:15" x14ac:dyDescent="0.25">
      <c r="B295" s="8">
        <v>287</v>
      </c>
      <c r="C295" s="8" t="s">
        <v>123</v>
      </c>
      <c r="D295" s="10">
        <v>46054</v>
      </c>
      <c r="E295" s="8" t="s">
        <v>295</v>
      </c>
      <c r="F295" s="8" t="s">
        <v>21</v>
      </c>
      <c r="G295" s="8">
        <v>90</v>
      </c>
      <c r="H295" s="8">
        <v>0</v>
      </c>
      <c r="I295" s="8">
        <v>-90</v>
      </c>
      <c r="J295" s="8">
        <v>0</v>
      </c>
      <c r="K295" s="8" t="s">
        <v>22</v>
      </c>
      <c r="L295" s="8" t="s">
        <v>5</v>
      </c>
      <c r="M295" s="8">
        <v>2026</v>
      </c>
      <c r="N295" s="8">
        <v>2</v>
      </c>
      <c r="O295" s="8"/>
    </row>
    <row r="296" spans="2:15" x14ac:dyDescent="0.25">
      <c r="B296" s="8">
        <v>288</v>
      </c>
      <c r="C296" s="8" t="s">
        <v>123</v>
      </c>
      <c r="D296" s="10">
        <v>46054</v>
      </c>
      <c r="E296" s="8" t="s">
        <v>227</v>
      </c>
      <c r="F296" s="8" t="s">
        <v>25</v>
      </c>
      <c r="G296" s="8">
        <v>100</v>
      </c>
      <c r="H296" s="8">
        <v>0</v>
      </c>
      <c r="I296" s="8">
        <v>-100</v>
      </c>
      <c r="J296" s="8">
        <v>0</v>
      </c>
      <c r="K296" s="8" t="s">
        <v>22</v>
      </c>
      <c r="L296" s="8" t="s">
        <v>5</v>
      </c>
      <c r="M296" s="8">
        <v>2026</v>
      </c>
      <c r="N296" s="8">
        <v>2</v>
      </c>
      <c r="O296" s="8"/>
    </row>
    <row r="297" spans="2:15" x14ac:dyDescent="0.25">
      <c r="B297" s="8">
        <v>289</v>
      </c>
      <c r="C297" s="8" t="s">
        <v>123</v>
      </c>
      <c r="D297" s="10">
        <v>46054</v>
      </c>
      <c r="E297" s="8" t="s">
        <v>294</v>
      </c>
      <c r="F297" s="8" t="s">
        <v>21</v>
      </c>
      <c r="G297" s="8">
        <v>225</v>
      </c>
      <c r="H297" s="8">
        <v>0</v>
      </c>
      <c r="I297" s="8">
        <v>-225</v>
      </c>
      <c r="J297" s="8">
        <v>0</v>
      </c>
      <c r="K297" s="8" t="s">
        <v>22</v>
      </c>
      <c r="L297" s="8" t="s">
        <v>5</v>
      </c>
      <c r="M297" s="8">
        <v>2026</v>
      </c>
      <c r="N297" s="8">
        <v>2</v>
      </c>
      <c r="O297" s="8"/>
    </row>
    <row r="298" spans="2:15" x14ac:dyDescent="0.25">
      <c r="B298" s="8">
        <v>290</v>
      </c>
      <c r="C298" s="8" t="s">
        <v>123</v>
      </c>
      <c r="D298" s="10">
        <v>46054</v>
      </c>
      <c r="E298" s="8" t="s">
        <v>290</v>
      </c>
      <c r="F298" s="8" t="s">
        <v>25</v>
      </c>
      <c r="G298" s="8">
        <v>85</v>
      </c>
      <c r="H298" s="8">
        <v>0</v>
      </c>
      <c r="I298" s="8">
        <v>-85</v>
      </c>
      <c r="J298" s="8">
        <v>0</v>
      </c>
      <c r="K298" s="8" t="s">
        <v>22</v>
      </c>
      <c r="L298" s="8" t="s">
        <v>5</v>
      </c>
      <c r="M298" s="8">
        <v>2026</v>
      </c>
      <c r="N298" s="8">
        <v>2</v>
      </c>
      <c r="O298" s="8"/>
    </row>
    <row r="299" spans="2:15" x14ac:dyDescent="0.25">
      <c r="B299" s="8">
        <v>291</v>
      </c>
      <c r="C299" s="8" t="s">
        <v>123</v>
      </c>
      <c r="D299" s="10">
        <v>46054</v>
      </c>
      <c r="E299" s="8" t="s">
        <v>191</v>
      </c>
      <c r="F299" s="8" t="s">
        <v>21</v>
      </c>
      <c r="G299" s="8">
        <v>220</v>
      </c>
      <c r="H299" s="8">
        <v>0</v>
      </c>
      <c r="I299" s="8">
        <v>-220</v>
      </c>
      <c r="J299" s="8">
        <v>0</v>
      </c>
      <c r="K299" s="8" t="s">
        <v>22</v>
      </c>
      <c r="L299" s="8" t="s">
        <v>5</v>
      </c>
      <c r="M299" s="8">
        <v>2026</v>
      </c>
      <c r="N299" s="8">
        <v>2</v>
      </c>
      <c r="O299" s="8"/>
    </row>
    <row r="300" spans="2:15" x14ac:dyDescent="0.25">
      <c r="B300" s="8">
        <v>292</v>
      </c>
      <c r="C300" s="8" t="s">
        <v>123</v>
      </c>
      <c r="D300" s="10">
        <v>46054</v>
      </c>
      <c r="E300" s="8" t="s">
        <v>42</v>
      </c>
      <c r="F300" s="8" t="s">
        <v>86</v>
      </c>
      <c r="G300" s="8">
        <v>0</v>
      </c>
      <c r="H300" s="8">
        <v>43700</v>
      </c>
      <c r="I300" s="8">
        <v>43700</v>
      </c>
      <c r="J300" s="8">
        <v>0</v>
      </c>
      <c r="K300" s="8" t="s">
        <v>43</v>
      </c>
      <c r="L300" s="8" t="s">
        <v>44</v>
      </c>
      <c r="M300" s="8">
        <v>2026</v>
      </c>
      <c r="N300" s="8">
        <v>2</v>
      </c>
      <c r="O300" s="8"/>
    </row>
    <row r="301" spans="2:15" x14ac:dyDescent="0.25">
      <c r="B301" s="8">
        <v>293</v>
      </c>
      <c r="C301" s="8" t="s">
        <v>123</v>
      </c>
      <c r="D301" s="10">
        <v>46054</v>
      </c>
      <c r="E301" s="8" t="s">
        <v>296</v>
      </c>
      <c r="F301" s="8" t="s">
        <v>86</v>
      </c>
      <c r="G301" s="8">
        <v>0</v>
      </c>
      <c r="H301" s="8">
        <v>3000</v>
      </c>
      <c r="I301" s="8">
        <v>3000</v>
      </c>
      <c r="J301" s="8">
        <v>0</v>
      </c>
      <c r="K301" s="8" t="s">
        <v>43</v>
      </c>
      <c r="L301" s="8" t="s">
        <v>44</v>
      </c>
      <c r="M301" s="8">
        <v>2026</v>
      </c>
      <c r="N301" s="8">
        <v>2</v>
      </c>
      <c r="O301" s="8"/>
    </row>
    <row r="302" spans="2:15" x14ac:dyDescent="0.25">
      <c r="B302" s="8">
        <v>294</v>
      </c>
      <c r="C302" s="8" t="s">
        <v>123</v>
      </c>
      <c r="D302" s="10">
        <v>46055</v>
      </c>
      <c r="E302" s="8" t="s">
        <v>124</v>
      </c>
      <c r="F302" s="8" t="s">
        <v>36</v>
      </c>
      <c r="G302" s="8">
        <v>10000</v>
      </c>
      <c r="H302" s="8">
        <v>0</v>
      </c>
      <c r="I302" s="8">
        <v>-10000</v>
      </c>
      <c r="J302" s="8">
        <v>0</v>
      </c>
      <c r="K302" s="8" t="s">
        <v>34</v>
      </c>
      <c r="L302" s="8" t="s">
        <v>35</v>
      </c>
      <c r="M302" s="8">
        <v>2026</v>
      </c>
      <c r="N302" s="8">
        <v>2</v>
      </c>
      <c r="O302" s="8"/>
    </row>
    <row r="303" spans="2:15" x14ac:dyDescent="0.25">
      <c r="B303" s="8">
        <v>295</v>
      </c>
      <c r="C303" s="8" t="s">
        <v>123</v>
      </c>
      <c r="D303" s="10">
        <v>46055</v>
      </c>
      <c r="E303" s="8" t="s">
        <v>291</v>
      </c>
      <c r="F303" s="8" t="s">
        <v>25</v>
      </c>
      <c r="G303" s="8">
        <v>233</v>
      </c>
      <c r="H303" s="8">
        <v>0</v>
      </c>
      <c r="I303" s="8">
        <v>-233</v>
      </c>
      <c r="J303" s="8">
        <v>0</v>
      </c>
      <c r="K303" s="8" t="s">
        <v>22</v>
      </c>
      <c r="L303" s="8" t="s">
        <v>5</v>
      </c>
      <c r="M303" s="8">
        <v>2026</v>
      </c>
      <c r="N303" s="8">
        <v>2</v>
      </c>
      <c r="O303" s="8"/>
    </row>
    <row r="304" spans="2:15" x14ac:dyDescent="0.25">
      <c r="B304" s="8">
        <v>296</v>
      </c>
      <c r="C304" s="8" t="s">
        <v>123</v>
      </c>
      <c r="D304" s="10">
        <v>46055</v>
      </c>
      <c r="E304" s="8" t="s">
        <v>292</v>
      </c>
      <c r="F304" s="8" t="s">
        <v>14</v>
      </c>
      <c r="G304" s="8">
        <v>68</v>
      </c>
      <c r="H304" s="8">
        <v>0</v>
      </c>
      <c r="I304" s="8">
        <v>-68</v>
      </c>
      <c r="J304" s="8">
        <v>0</v>
      </c>
      <c r="K304" s="8" t="s">
        <v>13</v>
      </c>
      <c r="L304" s="8" t="s">
        <v>5</v>
      </c>
      <c r="M304" s="8">
        <v>2026</v>
      </c>
      <c r="N304" s="8">
        <v>2</v>
      </c>
      <c r="O304" s="8"/>
    </row>
    <row r="305" spans="2:15" x14ac:dyDescent="0.25">
      <c r="B305" s="8">
        <v>297</v>
      </c>
      <c r="C305" s="8" t="s">
        <v>123</v>
      </c>
      <c r="D305" s="10">
        <v>46055</v>
      </c>
      <c r="E305" s="8" t="s">
        <v>290</v>
      </c>
      <c r="F305" s="8" t="s">
        <v>25</v>
      </c>
      <c r="G305" s="8">
        <v>245</v>
      </c>
      <c r="H305" s="8">
        <v>0</v>
      </c>
      <c r="I305" s="8">
        <v>-245</v>
      </c>
      <c r="J305" s="8">
        <v>0</v>
      </c>
      <c r="K305" s="8" t="s">
        <v>22</v>
      </c>
      <c r="L305" s="8" t="s">
        <v>5</v>
      </c>
      <c r="M305" s="8">
        <v>2026</v>
      </c>
      <c r="N305" s="8">
        <v>2</v>
      </c>
      <c r="O305" s="8"/>
    </row>
    <row r="306" spans="2:15" x14ac:dyDescent="0.25">
      <c r="B306" s="8">
        <v>298</v>
      </c>
      <c r="C306" s="8" t="s">
        <v>123</v>
      </c>
      <c r="D306" s="10">
        <v>46055</v>
      </c>
      <c r="E306" s="8" t="s">
        <v>139</v>
      </c>
      <c r="F306" s="8" t="s">
        <v>3</v>
      </c>
      <c r="G306" s="8">
        <v>15500</v>
      </c>
      <c r="H306" s="8">
        <v>0</v>
      </c>
      <c r="I306" s="8">
        <v>-15500</v>
      </c>
      <c r="J306" s="8">
        <v>0</v>
      </c>
      <c r="K306" s="8" t="s">
        <v>4</v>
      </c>
      <c r="L306" s="8" t="s">
        <v>5</v>
      </c>
      <c r="M306" s="8">
        <v>2026</v>
      </c>
      <c r="N306" s="8">
        <v>2</v>
      </c>
      <c r="O306" s="8"/>
    </row>
    <row r="307" spans="2:15" x14ac:dyDescent="0.25">
      <c r="B307" s="8">
        <v>299</v>
      </c>
      <c r="C307" s="8" t="s">
        <v>123</v>
      </c>
      <c r="D307" s="10">
        <v>46055</v>
      </c>
      <c r="E307" s="8" t="s">
        <v>81</v>
      </c>
      <c r="F307" s="8" t="s">
        <v>81</v>
      </c>
      <c r="G307" s="8">
        <v>250</v>
      </c>
      <c r="H307" s="8">
        <v>0</v>
      </c>
      <c r="I307" s="8">
        <v>-250</v>
      </c>
      <c r="J307" s="8">
        <v>0</v>
      </c>
      <c r="K307" s="8" t="s">
        <v>4</v>
      </c>
      <c r="L307" s="8" t="s">
        <v>5</v>
      </c>
      <c r="M307" s="8">
        <v>2026</v>
      </c>
      <c r="N307" s="8">
        <v>2</v>
      </c>
      <c r="O307" s="8"/>
    </row>
    <row r="308" spans="2:15" x14ac:dyDescent="0.25">
      <c r="B308" s="8">
        <v>300</v>
      </c>
      <c r="C308" s="8" t="s">
        <v>123</v>
      </c>
      <c r="D308" s="10">
        <v>46055</v>
      </c>
      <c r="E308" s="8" t="s">
        <v>6</v>
      </c>
      <c r="F308" s="8" t="s">
        <v>6</v>
      </c>
      <c r="G308" s="8">
        <v>750</v>
      </c>
      <c r="H308" s="8">
        <v>0</v>
      </c>
      <c r="I308" s="8">
        <v>-750</v>
      </c>
      <c r="J308" s="8">
        <v>0</v>
      </c>
      <c r="K308" s="8" t="s">
        <v>4</v>
      </c>
      <c r="L308" s="8" t="s">
        <v>5</v>
      </c>
      <c r="M308" s="8">
        <v>2026</v>
      </c>
      <c r="N308" s="8">
        <v>2</v>
      </c>
      <c r="O308" s="8"/>
    </row>
    <row r="309" spans="2:15" x14ac:dyDescent="0.25">
      <c r="B309" s="8">
        <v>301</v>
      </c>
      <c r="C309" s="8" t="s">
        <v>122</v>
      </c>
      <c r="D309" s="10">
        <v>46056</v>
      </c>
      <c r="E309" s="8" t="s">
        <v>147</v>
      </c>
      <c r="F309" s="8" t="s">
        <v>25</v>
      </c>
      <c r="G309" s="8">
        <v>20</v>
      </c>
      <c r="H309" s="8">
        <v>0</v>
      </c>
      <c r="I309" s="8">
        <v>-20</v>
      </c>
      <c r="J309" s="8">
        <v>0</v>
      </c>
      <c r="K309" s="8" t="s">
        <v>22</v>
      </c>
      <c r="L309" s="8" t="s">
        <v>5</v>
      </c>
      <c r="M309" s="8">
        <v>2026</v>
      </c>
      <c r="N309" s="8">
        <v>2</v>
      </c>
      <c r="O309" s="8"/>
    </row>
    <row r="310" spans="2:15" x14ac:dyDescent="0.25">
      <c r="B310" s="8">
        <v>302</v>
      </c>
      <c r="C310" s="8" t="s">
        <v>122</v>
      </c>
      <c r="D310" s="10">
        <v>46056</v>
      </c>
      <c r="E310" s="8" t="s">
        <v>273</v>
      </c>
      <c r="F310" s="8" t="s">
        <v>7</v>
      </c>
      <c r="G310" s="8">
        <v>120</v>
      </c>
      <c r="H310" s="8">
        <v>0</v>
      </c>
      <c r="I310" s="8">
        <v>-120</v>
      </c>
      <c r="J310" s="8">
        <v>0</v>
      </c>
      <c r="K310" s="8" t="s">
        <v>4</v>
      </c>
      <c r="L310" s="8" t="s">
        <v>5</v>
      </c>
      <c r="M310" s="8">
        <v>2026</v>
      </c>
      <c r="N310" s="8">
        <v>2</v>
      </c>
      <c r="O310" s="8"/>
    </row>
    <row r="311" spans="2:15" x14ac:dyDescent="0.25">
      <c r="B311" s="8">
        <v>303</v>
      </c>
      <c r="C311" s="8" t="s">
        <v>122</v>
      </c>
      <c r="D311" s="10">
        <v>46058</v>
      </c>
      <c r="E311" s="8" t="s">
        <v>144</v>
      </c>
      <c r="F311" s="8" t="s">
        <v>21</v>
      </c>
      <c r="G311" s="8">
        <v>150</v>
      </c>
      <c r="H311" s="8">
        <v>0</v>
      </c>
      <c r="I311" s="8">
        <v>-150</v>
      </c>
      <c r="J311" s="8">
        <v>0</v>
      </c>
      <c r="K311" s="8" t="s">
        <v>22</v>
      </c>
      <c r="L311" s="8" t="s">
        <v>5</v>
      </c>
      <c r="M311" s="8">
        <v>2026</v>
      </c>
      <c r="N311" s="8">
        <v>2</v>
      </c>
      <c r="O311" s="8"/>
    </row>
    <row r="312" spans="2:15" x14ac:dyDescent="0.25">
      <c r="B312" s="8">
        <v>304</v>
      </c>
      <c r="C312" s="8" t="s">
        <v>122</v>
      </c>
      <c r="D312" s="10">
        <v>46058</v>
      </c>
      <c r="E312" s="8" t="s">
        <v>222</v>
      </c>
      <c r="F312" s="8" t="s">
        <v>21</v>
      </c>
      <c r="G312" s="8">
        <v>38</v>
      </c>
      <c r="H312" s="8">
        <v>0</v>
      </c>
      <c r="I312" s="8">
        <v>-38</v>
      </c>
      <c r="J312" s="8">
        <v>0</v>
      </c>
      <c r="K312" s="8" t="s">
        <v>22</v>
      </c>
      <c r="L312" s="8" t="s">
        <v>5</v>
      </c>
      <c r="M312" s="8">
        <v>2026</v>
      </c>
      <c r="N312" s="8">
        <v>2</v>
      </c>
      <c r="O312" s="8"/>
    </row>
    <row r="313" spans="2:15" x14ac:dyDescent="0.25">
      <c r="B313" s="8">
        <v>305</v>
      </c>
      <c r="C313" s="8" t="s">
        <v>123</v>
      </c>
      <c r="D313" s="10">
        <v>46058</v>
      </c>
      <c r="E313" s="8" t="s">
        <v>136</v>
      </c>
      <c r="F313" s="8" t="s">
        <v>21</v>
      </c>
      <c r="G313" s="8">
        <v>544</v>
      </c>
      <c r="H313" s="8">
        <v>0</v>
      </c>
      <c r="I313" s="8">
        <v>-544</v>
      </c>
      <c r="J313" s="8">
        <v>0</v>
      </c>
      <c r="K313" s="8" t="s">
        <v>22</v>
      </c>
      <c r="L313" s="8" t="s">
        <v>5</v>
      </c>
      <c r="M313" s="8">
        <v>2026</v>
      </c>
      <c r="N313" s="8">
        <v>2</v>
      </c>
      <c r="O313" s="8"/>
    </row>
    <row r="314" spans="2:15" x14ac:dyDescent="0.25">
      <c r="B314" s="8">
        <v>306</v>
      </c>
      <c r="C314" s="8" t="s">
        <v>123</v>
      </c>
      <c r="D314" s="10">
        <v>46058</v>
      </c>
      <c r="E314" s="8" t="s">
        <v>293</v>
      </c>
      <c r="F314" s="8" t="s">
        <v>25</v>
      </c>
      <c r="G314" s="8">
        <v>285</v>
      </c>
      <c r="H314" s="8">
        <v>0</v>
      </c>
      <c r="I314" s="8">
        <v>-285</v>
      </c>
      <c r="J314" s="8">
        <v>0</v>
      </c>
      <c r="K314" s="8" t="s">
        <v>22</v>
      </c>
      <c r="L314" s="8" t="s">
        <v>5</v>
      </c>
      <c r="M314" s="8">
        <v>2026</v>
      </c>
      <c r="N314" s="8">
        <v>2</v>
      </c>
      <c r="O314" s="8"/>
    </row>
    <row r="315" spans="2:15" x14ac:dyDescent="0.25">
      <c r="B315" s="8">
        <v>307</v>
      </c>
      <c r="C315" s="8" t="s">
        <v>122</v>
      </c>
      <c r="D315" s="10">
        <v>46060</v>
      </c>
      <c r="E315" s="8" t="s">
        <v>138</v>
      </c>
      <c r="F315" s="8" t="s">
        <v>23</v>
      </c>
      <c r="G315" s="8">
        <v>50</v>
      </c>
      <c r="H315" s="8">
        <v>0</v>
      </c>
      <c r="I315" s="8">
        <v>-50</v>
      </c>
      <c r="J315" s="8">
        <v>0</v>
      </c>
      <c r="K315" s="8" t="s">
        <v>22</v>
      </c>
      <c r="L315" s="8" t="s">
        <v>5</v>
      </c>
      <c r="M315" s="8">
        <v>2026</v>
      </c>
      <c r="N315" s="8">
        <v>2</v>
      </c>
      <c r="O315" s="8"/>
    </row>
    <row r="316" spans="2:15" x14ac:dyDescent="0.25">
      <c r="B316" s="8">
        <v>308</v>
      </c>
      <c r="C316" s="8" t="s">
        <v>122</v>
      </c>
      <c r="D316" s="10">
        <v>46060</v>
      </c>
      <c r="E316" s="8" t="s">
        <v>298</v>
      </c>
      <c r="F316" s="8" t="s">
        <v>25</v>
      </c>
      <c r="G316" s="8">
        <v>214</v>
      </c>
      <c r="H316" s="8">
        <v>0</v>
      </c>
      <c r="I316" s="8">
        <v>-214</v>
      </c>
      <c r="J316" s="8">
        <v>0</v>
      </c>
      <c r="K316" s="8" t="s">
        <v>22</v>
      </c>
      <c r="L316" s="8" t="s">
        <v>5</v>
      </c>
      <c r="M316" s="8">
        <v>2026</v>
      </c>
      <c r="N316" s="8">
        <v>2</v>
      </c>
      <c r="O316" s="8"/>
    </row>
    <row r="317" spans="2:15" x14ac:dyDescent="0.25">
      <c r="B317" s="8">
        <v>309</v>
      </c>
      <c r="C317" s="8" t="s">
        <v>122</v>
      </c>
      <c r="D317" s="10">
        <v>46061</v>
      </c>
      <c r="E317" s="8" t="s">
        <v>157</v>
      </c>
      <c r="F317" s="8" t="s">
        <v>218</v>
      </c>
      <c r="G317" s="8">
        <v>352.82</v>
      </c>
      <c r="H317" s="8">
        <v>0</v>
      </c>
      <c r="I317" s="8">
        <v>-352.82</v>
      </c>
      <c r="J317" s="8">
        <v>0</v>
      </c>
      <c r="K317" s="8" t="s">
        <v>19</v>
      </c>
      <c r="L317" s="8" t="s">
        <v>5</v>
      </c>
      <c r="M317" s="8">
        <v>2026</v>
      </c>
      <c r="N317" s="8">
        <v>2</v>
      </c>
      <c r="O317" s="8"/>
    </row>
    <row r="318" spans="2:15" x14ac:dyDescent="0.25">
      <c r="B318" s="8">
        <v>310</v>
      </c>
      <c r="C318" s="8" t="s">
        <v>122</v>
      </c>
      <c r="D318" s="10">
        <v>46061</v>
      </c>
      <c r="E318" s="8" t="s">
        <v>147</v>
      </c>
      <c r="F318" s="8" t="s">
        <v>25</v>
      </c>
      <c r="G318" s="8">
        <v>45</v>
      </c>
      <c r="H318" s="8">
        <v>0</v>
      </c>
      <c r="I318" s="8">
        <v>-45</v>
      </c>
      <c r="J318" s="8">
        <v>0</v>
      </c>
      <c r="K318" s="8" t="s">
        <v>22</v>
      </c>
      <c r="L318" s="8" t="s">
        <v>5</v>
      </c>
      <c r="M318" s="8">
        <v>2026</v>
      </c>
      <c r="N318" s="8">
        <v>2</v>
      </c>
      <c r="O318" s="8"/>
    </row>
    <row r="319" spans="2:15" x14ac:dyDescent="0.25">
      <c r="B319" s="8">
        <v>311</v>
      </c>
      <c r="C319" s="8" t="s">
        <v>122</v>
      </c>
      <c r="D319" s="10">
        <v>46061</v>
      </c>
      <c r="E319" s="8" t="s">
        <v>42</v>
      </c>
      <c r="F319" s="8" t="s">
        <v>85</v>
      </c>
      <c r="G319" s="8">
        <v>0</v>
      </c>
      <c r="H319" s="8">
        <v>56200</v>
      </c>
      <c r="I319" s="8">
        <v>56200</v>
      </c>
      <c r="J319" s="8">
        <v>0</v>
      </c>
      <c r="K319" s="8" t="s">
        <v>43</v>
      </c>
      <c r="L319" s="8" t="s">
        <v>44</v>
      </c>
      <c r="M319" s="8">
        <v>2026</v>
      </c>
      <c r="N319" s="8">
        <v>2</v>
      </c>
      <c r="O319" s="8"/>
    </row>
    <row r="320" spans="2:15" x14ac:dyDescent="0.25">
      <c r="B320" s="8">
        <v>312</v>
      </c>
      <c r="C320" s="8" t="s">
        <v>123</v>
      </c>
      <c r="D320" s="10">
        <v>46061</v>
      </c>
      <c r="E320" s="8" t="s">
        <v>299</v>
      </c>
      <c r="F320" s="8"/>
      <c r="G320" s="8">
        <v>251</v>
      </c>
      <c r="H320" s="8">
        <v>0</v>
      </c>
      <c r="I320" s="8">
        <v>-251</v>
      </c>
      <c r="J320" s="8">
        <v>0</v>
      </c>
      <c r="K320" s="8"/>
      <c r="L320" s="8"/>
      <c r="M320" s="8">
        <v>2026</v>
      </c>
      <c r="N320" s="8">
        <v>2</v>
      </c>
      <c r="O320" s="8"/>
    </row>
    <row r="321" spans="2:15" x14ac:dyDescent="0.25">
      <c r="B321" s="8">
        <v>313</v>
      </c>
      <c r="C321" s="8" t="s">
        <v>123</v>
      </c>
      <c r="D321" s="10">
        <v>46061</v>
      </c>
      <c r="E321" s="8" t="s">
        <v>158</v>
      </c>
      <c r="F321" s="8" t="s">
        <v>8</v>
      </c>
      <c r="G321" s="8">
        <v>300</v>
      </c>
      <c r="H321" s="8">
        <v>0</v>
      </c>
      <c r="I321" s="8">
        <v>-300</v>
      </c>
      <c r="J321" s="8">
        <v>0</v>
      </c>
      <c r="K321" s="8" t="s">
        <v>9</v>
      </c>
      <c r="L321" s="8" t="s">
        <v>5</v>
      </c>
      <c r="M321" s="8">
        <v>2026</v>
      </c>
      <c r="N321" s="8">
        <v>2</v>
      </c>
      <c r="O321" s="8"/>
    </row>
    <row r="322" spans="2:15" x14ac:dyDescent="0.25">
      <c r="B322" s="8">
        <v>314</v>
      </c>
      <c r="C322" s="8" t="s">
        <v>123</v>
      </c>
      <c r="D322" s="10">
        <v>46061</v>
      </c>
      <c r="E322" s="8" t="s">
        <v>227</v>
      </c>
      <c r="F322" s="8" t="s">
        <v>25</v>
      </c>
      <c r="G322" s="8">
        <v>50</v>
      </c>
      <c r="H322" s="8">
        <v>0</v>
      </c>
      <c r="I322" s="8">
        <v>-50</v>
      </c>
      <c r="J322" s="8">
        <v>0</v>
      </c>
      <c r="K322" s="8" t="s">
        <v>22</v>
      </c>
      <c r="L322" s="8" t="s">
        <v>5</v>
      </c>
      <c r="M322" s="8">
        <v>2026</v>
      </c>
      <c r="N322" s="8">
        <v>2</v>
      </c>
      <c r="O322" s="8"/>
    </row>
    <row r="323" spans="2:15" x14ac:dyDescent="0.25">
      <c r="B323" s="8">
        <v>315</v>
      </c>
      <c r="C323" s="8" t="s">
        <v>123</v>
      </c>
      <c r="D323" s="10">
        <v>46061</v>
      </c>
      <c r="E323" s="8" t="s">
        <v>171</v>
      </c>
      <c r="F323" s="8" t="s">
        <v>21</v>
      </c>
      <c r="G323" s="8">
        <v>620</v>
      </c>
      <c r="H323" s="8">
        <v>0</v>
      </c>
      <c r="I323" s="8">
        <v>-620</v>
      </c>
      <c r="J323" s="8">
        <v>0</v>
      </c>
      <c r="K323" s="8" t="s">
        <v>22</v>
      </c>
      <c r="L323" s="8" t="s">
        <v>5</v>
      </c>
      <c r="M323" s="8">
        <v>2026</v>
      </c>
      <c r="N323" s="8">
        <v>2</v>
      </c>
      <c r="O323" s="8"/>
    </row>
    <row r="324" spans="2:15" x14ac:dyDescent="0.25">
      <c r="B324" s="8">
        <v>316</v>
      </c>
      <c r="C324" s="8" t="s">
        <v>123</v>
      </c>
      <c r="D324" s="10">
        <v>46061</v>
      </c>
      <c r="E324" s="8" t="s">
        <v>301</v>
      </c>
      <c r="F324" s="8" t="s">
        <v>21</v>
      </c>
      <c r="G324" s="8">
        <v>20</v>
      </c>
      <c r="H324" s="8">
        <v>0</v>
      </c>
      <c r="I324" s="8">
        <v>-20</v>
      </c>
      <c r="J324" s="8">
        <v>0</v>
      </c>
      <c r="K324" s="8" t="s">
        <v>22</v>
      </c>
      <c r="L324" s="8" t="s">
        <v>5</v>
      </c>
      <c r="M324" s="8">
        <v>2026</v>
      </c>
      <c r="N324" s="8">
        <v>2</v>
      </c>
      <c r="O324" s="8"/>
    </row>
    <row r="325" spans="2:15" x14ac:dyDescent="0.25">
      <c r="B325" s="8">
        <v>317</v>
      </c>
      <c r="C325" s="8" t="s">
        <v>123</v>
      </c>
      <c r="D325" s="10">
        <v>46061</v>
      </c>
      <c r="E325" s="8" t="s">
        <v>259</v>
      </c>
      <c r="F325" s="8" t="s">
        <v>10</v>
      </c>
      <c r="G325" s="8">
        <v>70</v>
      </c>
      <c r="H325" s="8">
        <v>0</v>
      </c>
      <c r="I325" s="8">
        <v>-70</v>
      </c>
      <c r="J325" s="8">
        <v>0</v>
      </c>
      <c r="K325" s="8" t="s">
        <v>9</v>
      </c>
      <c r="L325" s="8" t="s">
        <v>5</v>
      </c>
      <c r="M325" s="8">
        <v>2026</v>
      </c>
      <c r="N325" s="8">
        <v>2</v>
      </c>
      <c r="O325" s="8"/>
    </row>
    <row r="326" spans="2:15" x14ac:dyDescent="0.25">
      <c r="B326" s="8">
        <v>318</v>
      </c>
      <c r="C326" s="8" t="s">
        <v>123</v>
      </c>
      <c r="D326" s="10">
        <v>46061</v>
      </c>
      <c r="E326" s="8" t="s">
        <v>300</v>
      </c>
      <c r="F326" s="8" t="s">
        <v>6</v>
      </c>
      <c r="G326" s="8">
        <v>165</v>
      </c>
      <c r="H326" s="8">
        <v>0</v>
      </c>
      <c r="I326" s="8">
        <v>-165</v>
      </c>
      <c r="J326" s="8">
        <v>0</v>
      </c>
      <c r="K326" s="8" t="s">
        <v>4</v>
      </c>
      <c r="L326" s="8" t="s">
        <v>5</v>
      </c>
      <c r="M326" s="8">
        <v>2026</v>
      </c>
      <c r="N326" s="8">
        <v>2</v>
      </c>
      <c r="O326" s="8"/>
    </row>
    <row r="327" spans="2:15" x14ac:dyDescent="0.25">
      <c r="B327" s="8">
        <v>319</v>
      </c>
      <c r="C327" s="8" t="s">
        <v>122</v>
      </c>
      <c r="D327" s="10">
        <v>46062</v>
      </c>
      <c r="E327" s="8" t="s">
        <v>175</v>
      </c>
      <c r="F327" s="8" t="s">
        <v>218</v>
      </c>
      <c r="G327" s="8">
        <v>666</v>
      </c>
      <c r="H327" s="8">
        <v>0</v>
      </c>
      <c r="I327" s="8">
        <v>-666</v>
      </c>
      <c r="J327" s="8">
        <v>0</v>
      </c>
      <c r="K327" s="8" t="s">
        <v>19</v>
      </c>
      <c r="L327" s="8" t="s">
        <v>5</v>
      </c>
      <c r="M327" s="8">
        <v>2026</v>
      </c>
      <c r="N327" s="8">
        <v>2</v>
      </c>
      <c r="O327" s="8"/>
    </row>
    <row r="328" spans="2:15" x14ac:dyDescent="0.25">
      <c r="B328" s="8">
        <v>320</v>
      </c>
      <c r="C328" s="8" t="s">
        <v>122</v>
      </c>
      <c r="D328" s="10">
        <v>46062</v>
      </c>
      <c r="E328" s="8" t="s">
        <v>303</v>
      </c>
      <c r="F328" s="8" t="s">
        <v>218</v>
      </c>
      <c r="G328" s="8">
        <v>899</v>
      </c>
      <c r="H328" s="8">
        <v>0</v>
      </c>
      <c r="I328" s="8">
        <v>-899</v>
      </c>
      <c r="J328" s="8">
        <v>0</v>
      </c>
      <c r="K328" s="8" t="s">
        <v>19</v>
      </c>
      <c r="L328" s="8" t="s">
        <v>5</v>
      </c>
      <c r="M328" s="8">
        <v>2026</v>
      </c>
      <c r="N328" s="8">
        <v>2</v>
      </c>
      <c r="O328" s="8"/>
    </row>
    <row r="329" spans="2:15" x14ac:dyDescent="0.25">
      <c r="B329" s="8">
        <v>321</v>
      </c>
      <c r="C329" s="8" t="s">
        <v>122</v>
      </c>
      <c r="D329" s="10">
        <v>46062</v>
      </c>
      <c r="E329" s="8" t="s">
        <v>304</v>
      </c>
      <c r="F329" s="8" t="s">
        <v>37</v>
      </c>
      <c r="G329" s="8">
        <v>9000</v>
      </c>
      <c r="H329" s="8">
        <v>0</v>
      </c>
      <c r="I329" s="8">
        <v>-9000</v>
      </c>
      <c r="J329" s="8">
        <v>0</v>
      </c>
      <c r="K329" s="8" t="s">
        <v>38</v>
      </c>
      <c r="L329" s="8" t="s">
        <v>5</v>
      </c>
      <c r="M329" s="8">
        <v>2026</v>
      </c>
      <c r="N329" s="8">
        <v>2</v>
      </c>
      <c r="O329" s="8"/>
    </row>
    <row r="330" spans="2:15" x14ac:dyDescent="0.25">
      <c r="B330" s="8">
        <v>322</v>
      </c>
      <c r="C330" s="8" t="s">
        <v>122</v>
      </c>
      <c r="D330" s="10">
        <v>46062</v>
      </c>
      <c r="E330" s="8" t="s">
        <v>130</v>
      </c>
      <c r="F330" s="8" t="s">
        <v>37</v>
      </c>
      <c r="G330" s="8">
        <v>361</v>
      </c>
      <c r="H330" s="8">
        <v>0</v>
      </c>
      <c r="I330" s="8">
        <v>-361</v>
      </c>
      <c r="J330" s="8">
        <v>0</v>
      </c>
      <c r="K330" s="8" t="s">
        <v>38</v>
      </c>
      <c r="L330" s="8" t="s">
        <v>5</v>
      </c>
      <c r="M330" s="8">
        <v>2026</v>
      </c>
      <c r="N330" s="8">
        <v>2</v>
      </c>
      <c r="O330" s="8"/>
    </row>
    <row r="331" spans="2:15" x14ac:dyDescent="0.25">
      <c r="B331" s="8">
        <v>323</v>
      </c>
      <c r="C331" s="8" t="s">
        <v>122</v>
      </c>
      <c r="D331" s="10">
        <v>46062</v>
      </c>
      <c r="E331" s="8" t="s">
        <v>305</v>
      </c>
      <c r="F331" s="8" t="s">
        <v>83</v>
      </c>
      <c r="G331" s="8">
        <v>5000</v>
      </c>
      <c r="H331" s="8">
        <v>0</v>
      </c>
      <c r="I331" s="8">
        <v>-5000</v>
      </c>
      <c r="J331" s="8">
        <v>0</v>
      </c>
      <c r="K331" s="8" t="s">
        <v>38</v>
      </c>
      <c r="L331" s="8" t="s">
        <v>5</v>
      </c>
      <c r="M331" s="8">
        <v>2026</v>
      </c>
      <c r="N331" s="8">
        <v>2</v>
      </c>
      <c r="O331" s="8"/>
    </row>
    <row r="332" spans="2:15" x14ac:dyDescent="0.25">
      <c r="B332" s="8">
        <v>324</v>
      </c>
      <c r="C332" s="8" t="s">
        <v>122</v>
      </c>
      <c r="D332" s="10">
        <v>46062</v>
      </c>
      <c r="E332" s="8" t="s">
        <v>306</v>
      </c>
      <c r="F332" s="8" t="s">
        <v>20</v>
      </c>
      <c r="G332" s="8">
        <v>600</v>
      </c>
      <c r="H332" s="8">
        <v>0</v>
      </c>
      <c r="I332" s="8">
        <v>-600</v>
      </c>
      <c r="J332" s="8">
        <v>0</v>
      </c>
      <c r="K332" s="8" t="s">
        <v>19</v>
      </c>
      <c r="L332" s="8" t="s">
        <v>5</v>
      </c>
      <c r="M332" s="8">
        <v>2026</v>
      </c>
      <c r="N332" s="8">
        <v>2</v>
      </c>
      <c r="O332" s="8"/>
    </row>
    <row r="333" spans="2:15" x14ac:dyDescent="0.25">
      <c r="B333" s="8">
        <v>325</v>
      </c>
      <c r="C333" s="8" t="s">
        <v>123</v>
      </c>
      <c r="D333" s="10">
        <v>46062</v>
      </c>
      <c r="E333" s="8" t="s">
        <v>305</v>
      </c>
      <c r="F333" s="8" t="s">
        <v>84</v>
      </c>
      <c r="G333" s="8">
        <v>5621</v>
      </c>
      <c r="H333" s="8">
        <v>0</v>
      </c>
      <c r="I333" s="8">
        <v>-5621</v>
      </c>
      <c r="J333" s="8">
        <v>0</v>
      </c>
      <c r="K333" s="8" t="s">
        <v>38</v>
      </c>
      <c r="L333" s="8" t="s">
        <v>5</v>
      </c>
      <c r="M333" s="8">
        <v>2026</v>
      </c>
      <c r="N333" s="8">
        <v>2</v>
      </c>
      <c r="O333" s="8"/>
    </row>
    <row r="334" spans="2:15" x14ac:dyDescent="0.25">
      <c r="B334" s="8">
        <v>326</v>
      </c>
      <c r="C334" s="8" t="s">
        <v>122</v>
      </c>
      <c r="D334" s="10">
        <v>46063</v>
      </c>
      <c r="E334" s="8" t="s">
        <v>307</v>
      </c>
      <c r="F334" s="8" t="s">
        <v>15</v>
      </c>
      <c r="G334" s="8">
        <v>270</v>
      </c>
      <c r="H334" s="8">
        <v>0</v>
      </c>
      <c r="I334" s="8">
        <v>-270</v>
      </c>
      <c r="J334" s="8">
        <v>0</v>
      </c>
      <c r="K334" s="8" t="s">
        <v>16</v>
      </c>
      <c r="L334" s="8" t="s">
        <v>5</v>
      </c>
      <c r="M334" s="8">
        <v>2026</v>
      </c>
      <c r="N334" s="8">
        <v>2</v>
      </c>
      <c r="O334" s="8"/>
    </row>
    <row r="335" spans="2:15" x14ac:dyDescent="0.25">
      <c r="B335" s="8">
        <v>327</v>
      </c>
      <c r="C335" s="8" t="s">
        <v>122</v>
      </c>
      <c r="D335" s="10">
        <v>46064</v>
      </c>
      <c r="E335" s="8" t="s">
        <v>207</v>
      </c>
      <c r="F335" s="8" t="s">
        <v>25</v>
      </c>
      <c r="G335" s="8">
        <v>748</v>
      </c>
      <c r="H335" s="8">
        <v>0</v>
      </c>
      <c r="I335" s="8">
        <v>-748</v>
      </c>
      <c r="J335" s="8">
        <v>0</v>
      </c>
      <c r="K335" s="8" t="s">
        <v>22</v>
      </c>
      <c r="L335" s="8" t="s">
        <v>5</v>
      </c>
      <c r="M335" s="8">
        <v>2026</v>
      </c>
      <c r="N335" s="8">
        <v>2</v>
      </c>
      <c r="O335" s="8"/>
    </row>
    <row r="336" spans="2:15" x14ac:dyDescent="0.25">
      <c r="B336" s="8">
        <v>328</v>
      </c>
      <c r="C336" s="8" t="s">
        <v>122</v>
      </c>
      <c r="D336" s="10">
        <v>46064</v>
      </c>
      <c r="E336" s="8" t="s">
        <v>314</v>
      </c>
      <c r="F336" s="8" t="s">
        <v>84</v>
      </c>
      <c r="G336" s="8">
        <v>2000</v>
      </c>
      <c r="H336" s="8">
        <v>0</v>
      </c>
      <c r="I336" s="8">
        <v>-2000</v>
      </c>
      <c r="J336" s="8">
        <v>0</v>
      </c>
      <c r="K336" s="8" t="s">
        <v>38</v>
      </c>
      <c r="L336" s="8" t="s">
        <v>5</v>
      </c>
      <c r="M336" s="8">
        <v>2026</v>
      </c>
      <c r="N336" s="8">
        <v>2</v>
      </c>
      <c r="O336" s="8"/>
    </row>
    <row r="337" spans="2:15" x14ac:dyDescent="0.25">
      <c r="B337" s="8">
        <v>329</v>
      </c>
      <c r="C337" s="8" t="s">
        <v>122</v>
      </c>
      <c r="D337" s="10">
        <v>46066</v>
      </c>
      <c r="E337" s="8" t="s">
        <v>308</v>
      </c>
      <c r="F337" s="8" t="s">
        <v>21</v>
      </c>
      <c r="G337" s="8">
        <v>48</v>
      </c>
      <c r="H337" s="8">
        <v>0</v>
      </c>
      <c r="I337" s="8">
        <v>-48</v>
      </c>
      <c r="J337" s="8">
        <v>0</v>
      </c>
      <c r="K337" s="8" t="s">
        <v>22</v>
      </c>
      <c r="L337" s="8" t="s">
        <v>5</v>
      </c>
      <c r="M337" s="8">
        <v>2026</v>
      </c>
      <c r="N337" s="8">
        <v>2</v>
      </c>
      <c r="O337" s="8"/>
    </row>
    <row r="338" spans="2:15" x14ac:dyDescent="0.25">
      <c r="B338" s="8">
        <v>330</v>
      </c>
      <c r="C338" s="8" t="s">
        <v>122</v>
      </c>
      <c r="D338" s="10">
        <v>46066</v>
      </c>
      <c r="E338" s="8" t="s">
        <v>290</v>
      </c>
      <c r="F338" s="8" t="s">
        <v>25</v>
      </c>
      <c r="G338" s="8">
        <v>235</v>
      </c>
      <c r="H338" s="8">
        <v>0</v>
      </c>
      <c r="I338" s="8">
        <v>-235</v>
      </c>
      <c r="J338" s="8">
        <v>0</v>
      </c>
      <c r="K338" s="8" t="s">
        <v>22</v>
      </c>
      <c r="L338" s="8" t="s">
        <v>5</v>
      </c>
      <c r="M338" s="8">
        <v>2026</v>
      </c>
      <c r="N338" s="8">
        <v>2</v>
      </c>
      <c r="O338" s="8"/>
    </row>
    <row r="339" spans="2:15" x14ac:dyDescent="0.25">
      <c r="B339" s="8">
        <v>331</v>
      </c>
      <c r="C339" s="8" t="s">
        <v>122</v>
      </c>
      <c r="D339" s="10">
        <v>46066</v>
      </c>
      <c r="E339" s="8" t="s">
        <v>337</v>
      </c>
      <c r="F339" s="8" t="s">
        <v>10</v>
      </c>
      <c r="G339" s="8">
        <v>1890</v>
      </c>
      <c r="H339" s="8">
        <v>0</v>
      </c>
      <c r="I339" s="8">
        <v>-1890</v>
      </c>
      <c r="J339" s="8">
        <v>0</v>
      </c>
      <c r="K339" s="8" t="s">
        <v>9</v>
      </c>
      <c r="L339" s="8" t="s">
        <v>5</v>
      </c>
      <c r="M339" s="8">
        <v>2026</v>
      </c>
      <c r="N339" s="8">
        <v>2</v>
      </c>
      <c r="O339" s="8"/>
    </row>
    <row r="340" spans="2:15" x14ac:dyDescent="0.25">
      <c r="B340" s="8">
        <v>332</v>
      </c>
      <c r="C340" s="8" t="s">
        <v>122</v>
      </c>
      <c r="D340" s="10">
        <v>46067</v>
      </c>
      <c r="E340" s="8" t="s">
        <v>169</v>
      </c>
      <c r="F340" s="8" t="s">
        <v>21</v>
      </c>
      <c r="G340" s="8">
        <v>90</v>
      </c>
      <c r="H340" s="8">
        <v>0</v>
      </c>
      <c r="I340" s="8">
        <v>-90</v>
      </c>
      <c r="J340" s="8">
        <v>0</v>
      </c>
      <c r="K340" s="8" t="s">
        <v>22</v>
      </c>
      <c r="L340" s="8" t="s">
        <v>5</v>
      </c>
      <c r="M340" s="8">
        <v>2026</v>
      </c>
      <c r="N340" s="8">
        <v>2</v>
      </c>
      <c r="O340" s="8"/>
    </row>
    <row r="341" spans="2:15" x14ac:dyDescent="0.25">
      <c r="B341" s="8">
        <v>333</v>
      </c>
      <c r="C341" s="8" t="s">
        <v>122</v>
      </c>
      <c r="D341" s="10">
        <v>46067</v>
      </c>
      <c r="E341" s="8" t="s">
        <v>147</v>
      </c>
      <c r="F341" s="8" t="s">
        <v>25</v>
      </c>
      <c r="G341" s="8">
        <v>30</v>
      </c>
      <c r="H341" s="8">
        <v>0</v>
      </c>
      <c r="I341" s="8">
        <v>-30</v>
      </c>
      <c r="J341" s="8">
        <v>0</v>
      </c>
      <c r="K341" s="8" t="s">
        <v>22</v>
      </c>
      <c r="L341" s="8" t="s">
        <v>5</v>
      </c>
      <c r="M341" s="8">
        <v>2026</v>
      </c>
      <c r="N341" s="8">
        <v>2</v>
      </c>
      <c r="O341" s="8"/>
    </row>
    <row r="342" spans="2:15" x14ac:dyDescent="0.25">
      <c r="B342" s="8">
        <v>334</v>
      </c>
      <c r="C342" s="8" t="s">
        <v>122</v>
      </c>
      <c r="D342" s="10">
        <v>46067</v>
      </c>
      <c r="E342" s="8" t="s">
        <v>309</v>
      </c>
      <c r="F342" s="8" t="s">
        <v>24</v>
      </c>
      <c r="G342" s="8">
        <v>478</v>
      </c>
      <c r="H342" s="8">
        <v>0</v>
      </c>
      <c r="I342" s="8">
        <v>-478</v>
      </c>
      <c r="J342" s="8">
        <v>0</v>
      </c>
      <c r="K342" s="8" t="s">
        <v>22</v>
      </c>
      <c r="L342" s="8" t="s">
        <v>5</v>
      </c>
      <c r="M342" s="8">
        <v>2026</v>
      </c>
      <c r="N342" s="8">
        <v>2</v>
      </c>
      <c r="O342" s="8"/>
    </row>
    <row r="343" spans="2:15" x14ac:dyDescent="0.25">
      <c r="B343" s="8">
        <v>335</v>
      </c>
      <c r="C343" s="8" t="s">
        <v>122</v>
      </c>
      <c r="D343" s="10">
        <v>46067</v>
      </c>
      <c r="E343" s="8" t="s">
        <v>309</v>
      </c>
      <c r="F343" s="8" t="s">
        <v>24</v>
      </c>
      <c r="G343" s="8">
        <v>278</v>
      </c>
      <c r="H343" s="8">
        <v>0</v>
      </c>
      <c r="I343" s="8">
        <v>-278</v>
      </c>
      <c r="J343" s="8">
        <v>0</v>
      </c>
      <c r="K343" s="8" t="s">
        <v>22</v>
      </c>
      <c r="L343" s="8" t="s">
        <v>5</v>
      </c>
      <c r="M343" s="8">
        <v>2026</v>
      </c>
      <c r="N343" s="8">
        <v>2</v>
      </c>
      <c r="O343" s="8"/>
    </row>
    <row r="344" spans="2:15" x14ac:dyDescent="0.25">
      <c r="B344" s="8">
        <v>336</v>
      </c>
      <c r="C344" s="8" t="s">
        <v>122</v>
      </c>
      <c r="D344" s="10">
        <v>46067</v>
      </c>
      <c r="E344" s="8" t="s">
        <v>310</v>
      </c>
      <c r="F344" s="8" t="s">
        <v>31</v>
      </c>
      <c r="G344" s="8">
        <v>200</v>
      </c>
      <c r="H344" s="8">
        <v>0</v>
      </c>
      <c r="I344" s="8">
        <v>-200</v>
      </c>
      <c r="J344" s="8">
        <v>0</v>
      </c>
      <c r="K344" s="8" t="s">
        <v>28</v>
      </c>
      <c r="L344" s="8" t="s">
        <v>5</v>
      </c>
      <c r="M344" s="8">
        <v>2026</v>
      </c>
      <c r="N344" s="8">
        <v>2</v>
      </c>
      <c r="O344" s="8"/>
    </row>
    <row r="345" spans="2:15" x14ac:dyDescent="0.25">
      <c r="B345" s="8">
        <v>337</v>
      </c>
      <c r="C345" s="8" t="s">
        <v>122</v>
      </c>
      <c r="D345" s="10">
        <v>46067</v>
      </c>
      <c r="E345" s="8" t="s">
        <v>311</v>
      </c>
      <c r="F345" s="8" t="s">
        <v>25</v>
      </c>
      <c r="G345" s="8">
        <v>60</v>
      </c>
      <c r="H345" s="8">
        <v>0</v>
      </c>
      <c r="I345" s="8">
        <v>-60</v>
      </c>
      <c r="J345" s="8">
        <v>0</v>
      </c>
      <c r="K345" s="8" t="s">
        <v>22</v>
      </c>
      <c r="L345" s="8" t="s">
        <v>5</v>
      </c>
      <c r="M345" s="8">
        <v>2026</v>
      </c>
      <c r="N345" s="8">
        <v>2</v>
      </c>
      <c r="O345" s="8"/>
    </row>
    <row r="346" spans="2:15" x14ac:dyDescent="0.25">
      <c r="B346" s="8">
        <v>338</v>
      </c>
      <c r="C346" s="8" t="s">
        <v>122</v>
      </c>
      <c r="D346" s="10">
        <v>46067</v>
      </c>
      <c r="E346" s="8" t="s">
        <v>312</v>
      </c>
      <c r="F346" s="8" t="s">
        <v>25</v>
      </c>
      <c r="G346" s="8">
        <v>1172</v>
      </c>
      <c r="H346" s="8">
        <v>0</v>
      </c>
      <c r="I346" s="8">
        <v>-1172</v>
      </c>
      <c r="J346" s="8">
        <v>0</v>
      </c>
      <c r="K346" s="8" t="s">
        <v>22</v>
      </c>
      <c r="L346" s="8" t="s">
        <v>5</v>
      </c>
      <c r="M346" s="8">
        <v>2026</v>
      </c>
      <c r="N346" s="8">
        <v>2</v>
      </c>
      <c r="O346" s="8"/>
    </row>
    <row r="347" spans="2:15" x14ac:dyDescent="0.25">
      <c r="B347" s="8">
        <v>339</v>
      </c>
      <c r="C347" s="8" t="s">
        <v>122</v>
      </c>
      <c r="D347" s="10">
        <v>46067</v>
      </c>
      <c r="E347" s="8" t="s">
        <v>315</v>
      </c>
      <c r="F347" s="8" t="s">
        <v>7</v>
      </c>
      <c r="G347" s="8">
        <v>880</v>
      </c>
      <c r="H347" s="8">
        <v>0</v>
      </c>
      <c r="I347" s="8">
        <v>-880</v>
      </c>
      <c r="J347" s="8">
        <v>0</v>
      </c>
      <c r="K347" s="8" t="s">
        <v>4</v>
      </c>
      <c r="L347" s="8" t="s">
        <v>5</v>
      </c>
      <c r="M347" s="8">
        <v>2026</v>
      </c>
      <c r="N347" s="8">
        <v>2</v>
      </c>
      <c r="O347" s="8"/>
    </row>
    <row r="348" spans="2:15" x14ac:dyDescent="0.25">
      <c r="B348" s="8">
        <v>340</v>
      </c>
      <c r="C348" s="8" t="s">
        <v>123</v>
      </c>
      <c r="D348" s="10">
        <v>46067</v>
      </c>
      <c r="E348" s="8" t="s">
        <v>316</v>
      </c>
      <c r="F348" s="8" t="s">
        <v>15</v>
      </c>
      <c r="G348" s="8">
        <v>425</v>
      </c>
      <c r="H348" s="8">
        <v>0</v>
      </c>
      <c r="I348" s="8">
        <v>-425</v>
      </c>
      <c r="J348" s="8">
        <v>0</v>
      </c>
      <c r="K348" s="8" t="s">
        <v>16</v>
      </c>
      <c r="L348" s="8" t="s">
        <v>5</v>
      </c>
      <c r="M348" s="8">
        <v>2026</v>
      </c>
      <c r="N348" s="8">
        <v>2</v>
      </c>
      <c r="O348" s="8"/>
    </row>
    <row r="349" spans="2:15" x14ac:dyDescent="0.25">
      <c r="B349" s="8">
        <v>341</v>
      </c>
      <c r="C349" s="8" t="s">
        <v>122</v>
      </c>
      <c r="D349" s="10">
        <v>46068</v>
      </c>
      <c r="E349" s="8" t="s">
        <v>144</v>
      </c>
      <c r="F349" s="8" t="s">
        <v>21</v>
      </c>
      <c r="G349" s="8">
        <v>100</v>
      </c>
      <c r="H349" s="8">
        <v>0</v>
      </c>
      <c r="I349" s="8">
        <v>-100</v>
      </c>
      <c r="J349" s="8">
        <v>0</v>
      </c>
      <c r="K349" s="8" t="s">
        <v>22</v>
      </c>
      <c r="L349" s="8" t="s">
        <v>5</v>
      </c>
      <c r="M349" s="8">
        <v>2026</v>
      </c>
      <c r="N349" s="8">
        <v>2</v>
      </c>
      <c r="O349" s="8"/>
    </row>
    <row r="350" spans="2:15" x14ac:dyDescent="0.25">
      <c r="B350" s="8">
        <v>342</v>
      </c>
      <c r="C350" s="8" t="s">
        <v>122</v>
      </c>
      <c r="D350" s="10">
        <v>46068</v>
      </c>
      <c r="E350" s="8" t="s">
        <v>146</v>
      </c>
      <c r="F350" s="8" t="s">
        <v>21</v>
      </c>
      <c r="G350" s="8">
        <v>260</v>
      </c>
      <c r="H350" s="8">
        <v>0</v>
      </c>
      <c r="I350" s="8">
        <v>-260</v>
      </c>
      <c r="J350" s="8">
        <v>0</v>
      </c>
      <c r="K350" s="8" t="s">
        <v>22</v>
      </c>
      <c r="L350" s="8" t="s">
        <v>5</v>
      </c>
      <c r="M350" s="8">
        <v>2026</v>
      </c>
      <c r="N350" s="8">
        <v>2</v>
      </c>
      <c r="O350" s="8"/>
    </row>
    <row r="351" spans="2:15" x14ac:dyDescent="0.25">
      <c r="B351" s="8">
        <v>343</v>
      </c>
      <c r="C351" s="8" t="s">
        <v>122</v>
      </c>
      <c r="D351" s="10">
        <v>46068</v>
      </c>
      <c r="E351" s="8" t="s">
        <v>243</v>
      </c>
      <c r="F351" s="8" t="s">
        <v>21</v>
      </c>
      <c r="G351" s="8">
        <v>20</v>
      </c>
      <c r="H351" s="8">
        <v>0</v>
      </c>
      <c r="I351" s="8">
        <v>-20</v>
      </c>
      <c r="J351" s="8">
        <v>0</v>
      </c>
      <c r="K351" s="8" t="s">
        <v>22</v>
      </c>
      <c r="L351" s="8" t="s">
        <v>5</v>
      </c>
      <c r="M351" s="8">
        <v>2026</v>
      </c>
      <c r="N351" s="8">
        <v>2</v>
      </c>
      <c r="O351" s="8"/>
    </row>
    <row r="352" spans="2:15" x14ac:dyDescent="0.25">
      <c r="B352" s="8">
        <v>344</v>
      </c>
      <c r="C352" s="8" t="s">
        <v>122</v>
      </c>
      <c r="D352" s="10">
        <v>46069</v>
      </c>
      <c r="E352" s="8" t="s">
        <v>313</v>
      </c>
      <c r="F352" s="8" t="s">
        <v>21</v>
      </c>
      <c r="G352" s="8">
        <v>146</v>
      </c>
      <c r="H352" s="8">
        <v>0</v>
      </c>
      <c r="I352" s="8">
        <v>-146</v>
      </c>
      <c r="J352" s="8">
        <v>0</v>
      </c>
      <c r="K352" s="8" t="s">
        <v>22</v>
      </c>
      <c r="L352" s="8" t="s">
        <v>5</v>
      </c>
      <c r="M352" s="8">
        <v>2026</v>
      </c>
      <c r="N352" s="8">
        <v>2</v>
      </c>
      <c r="O352" s="8"/>
    </row>
    <row r="353" spans="2:15" x14ac:dyDescent="0.25">
      <c r="B353" s="8">
        <v>345</v>
      </c>
      <c r="C353" s="8" t="s">
        <v>122</v>
      </c>
      <c r="D353" s="10">
        <v>46070</v>
      </c>
      <c r="E353" s="8" t="s">
        <v>317</v>
      </c>
      <c r="F353" s="8" t="s">
        <v>21</v>
      </c>
      <c r="G353" s="8">
        <v>20</v>
      </c>
      <c r="H353" s="8">
        <v>0</v>
      </c>
      <c r="I353" s="8">
        <v>-20</v>
      </c>
      <c r="J353" s="8">
        <v>0</v>
      </c>
      <c r="K353" s="8" t="s">
        <v>22</v>
      </c>
      <c r="L353" s="8" t="s">
        <v>5</v>
      </c>
      <c r="M353" s="8">
        <v>2026</v>
      </c>
      <c r="N353" s="8">
        <v>2</v>
      </c>
      <c r="O353" s="8"/>
    </row>
    <row r="354" spans="2:15" x14ac:dyDescent="0.25">
      <c r="B354" s="8">
        <v>346</v>
      </c>
      <c r="C354" s="8" t="s">
        <v>122</v>
      </c>
      <c r="D354" s="10">
        <v>46070</v>
      </c>
      <c r="E354" s="8" t="s">
        <v>227</v>
      </c>
      <c r="F354" s="8" t="s">
        <v>25</v>
      </c>
      <c r="G354" s="8">
        <v>50</v>
      </c>
      <c r="H354" s="8">
        <v>0</v>
      </c>
      <c r="I354" s="8">
        <v>-50</v>
      </c>
      <c r="J354" s="8">
        <v>0</v>
      </c>
      <c r="K354" s="8" t="s">
        <v>22</v>
      </c>
      <c r="L354" s="8" t="s">
        <v>5</v>
      </c>
      <c r="M354" s="8">
        <v>2026</v>
      </c>
      <c r="N354" s="8">
        <v>2</v>
      </c>
      <c r="O354" s="8"/>
    </row>
    <row r="355" spans="2:15" x14ac:dyDescent="0.25">
      <c r="B355" s="8">
        <v>347</v>
      </c>
      <c r="C355" s="8" t="s">
        <v>122</v>
      </c>
      <c r="D355" s="10">
        <v>46070</v>
      </c>
      <c r="E355" s="8" t="s">
        <v>95</v>
      </c>
      <c r="F355" s="8" t="s">
        <v>21</v>
      </c>
      <c r="G355" s="8">
        <v>526</v>
      </c>
      <c r="H355" s="8">
        <v>0</v>
      </c>
      <c r="I355" s="8">
        <v>-526</v>
      </c>
      <c r="J355" s="8">
        <v>0</v>
      </c>
      <c r="K355" s="8" t="s">
        <v>22</v>
      </c>
      <c r="L355" s="8" t="s">
        <v>5</v>
      </c>
      <c r="M355" s="8">
        <v>2026</v>
      </c>
      <c r="N355" s="8">
        <v>2</v>
      </c>
      <c r="O355" s="8"/>
    </row>
    <row r="356" spans="2:15" x14ac:dyDescent="0.25">
      <c r="B356" s="8">
        <v>348</v>
      </c>
      <c r="C356" s="8" t="s">
        <v>122</v>
      </c>
      <c r="D356" s="10">
        <v>46070</v>
      </c>
      <c r="E356" s="8" t="s">
        <v>154</v>
      </c>
      <c r="F356" s="8" t="s">
        <v>21</v>
      </c>
      <c r="G356" s="8">
        <v>140</v>
      </c>
      <c r="H356" s="8">
        <v>0</v>
      </c>
      <c r="I356" s="8">
        <v>-140</v>
      </c>
      <c r="J356" s="8">
        <v>0</v>
      </c>
      <c r="K356" s="8" t="s">
        <v>22</v>
      </c>
      <c r="L356" s="8" t="s">
        <v>5</v>
      </c>
      <c r="M356" s="8">
        <v>2026</v>
      </c>
      <c r="N356" s="8">
        <v>2</v>
      </c>
      <c r="O356" s="8"/>
    </row>
    <row r="357" spans="2:15" x14ac:dyDescent="0.25">
      <c r="B357" s="8">
        <v>349</v>
      </c>
      <c r="C357" s="8" t="s">
        <v>122</v>
      </c>
      <c r="D357" s="10">
        <v>46070</v>
      </c>
      <c r="E357" s="8" t="s">
        <v>318</v>
      </c>
      <c r="F357" s="8" t="s">
        <v>14</v>
      </c>
      <c r="G357" s="8">
        <v>150</v>
      </c>
      <c r="H357" s="8">
        <v>0</v>
      </c>
      <c r="I357" s="8">
        <v>-150</v>
      </c>
      <c r="J357" s="8">
        <v>0</v>
      </c>
      <c r="K357" s="8" t="s">
        <v>13</v>
      </c>
      <c r="L357" s="8" t="s">
        <v>5</v>
      </c>
      <c r="M357" s="8">
        <v>2026</v>
      </c>
      <c r="N357" s="8">
        <v>2</v>
      </c>
      <c r="O357" s="8"/>
    </row>
    <row r="358" spans="2:15" x14ac:dyDescent="0.25">
      <c r="B358" s="8">
        <v>350</v>
      </c>
      <c r="C358" s="8" t="s">
        <v>122</v>
      </c>
      <c r="D358" s="10">
        <v>46071</v>
      </c>
      <c r="E358" s="8" t="s">
        <v>319</v>
      </c>
      <c r="F358" s="8" t="s">
        <v>25</v>
      </c>
      <c r="G358" s="8">
        <v>170</v>
      </c>
      <c r="H358" s="8">
        <v>0</v>
      </c>
      <c r="I358" s="8">
        <v>-170</v>
      </c>
      <c r="J358" s="8">
        <v>0</v>
      </c>
      <c r="K358" s="8" t="s">
        <v>22</v>
      </c>
      <c r="L358" s="8" t="s">
        <v>5</v>
      </c>
      <c r="M358" s="8">
        <v>2026</v>
      </c>
      <c r="N358" s="8">
        <v>2</v>
      </c>
      <c r="O358" s="8"/>
    </row>
    <row r="359" spans="2:15" x14ac:dyDescent="0.25">
      <c r="B359" s="8">
        <v>351</v>
      </c>
      <c r="C359" s="8" t="s">
        <v>122</v>
      </c>
      <c r="D359" s="10">
        <v>46071</v>
      </c>
      <c r="E359" s="8" t="s">
        <v>320</v>
      </c>
      <c r="F359" s="8" t="s">
        <v>25</v>
      </c>
      <c r="G359" s="8">
        <v>100</v>
      </c>
      <c r="H359" s="8">
        <v>0</v>
      </c>
      <c r="I359" s="8">
        <v>-100</v>
      </c>
      <c r="J359" s="8">
        <v>0</v>
      </c>
      <c r="K359" s="8" t="s">
        <v>22</v>
      </c>
      <c r="L359" s="8" t="s">
        <v>5</v>
      </c>
      <c r="M359" s="8">
        <v>2026</v>
      </c>
      <c r="N359" s="8">
        <v>2</v>
      </c>
      <c r="O359" s="8"/>
    </row>
    <row r="360" spans="2:15" x14ac:dyDescent="0.25">
      <c r="B360" s="8">
        <v>352</v>
      </c>
      <c r="C360" s="8" t="s">
        <v>122</v>
      </c>
      <c r="D360" s="10">
        <v>46072</v>
      </c>
      <c r="E360" s="8" t="s">
        <v>321</v>
      </c>
      <c r="F360" s="8" t="s">
        <v>21</v>
      </c>
      <c r="G360" s="8">
        <v>10</v>
      </c>
      <c r="H360" s="8">
        <v>0</v>
      </c>
      <c r="I360" s="8">
        <v>-10</v>
      </c>
      <c r="J360" s="8">
        <v>0</v>
      </c>
      <c r="K360" s="8" t="s">
        <v>22</v>
      </c>
      <c r="L360" s="8" t="s">
        <v>5</v>
      </c>
      <c r="M360" s="8">
        <v>2026</v>
      </c>
      <c r="N360" s="8">
        <v>2</v>
      </c>
      <c r="O360" s="8"/>
    </row>
    <row r="361" spans="2:15" x14ac:dyDescent="0.25">
      <c r="B361" s="8">
        <v>353</v>
      </c>
      <c r="C361" s="8" t="s">
        <v>122</v>
      </c>
      <c r="D361" s="10">
        <v>46072</v>
      </c>
      <c r="E361" s="8" t="s">
        <v>323</v>
      </c>
      <c r="F361" s="8" t="s">
        <v>25</v>
      </c>
      <c r="G361" s="8">
        <v>831.25</v>
      </c>
      <c r="H361" s="8">
        <v>0</v>
      </c>
      <c r="I361" s="8">
        <v>-831.25</v>
      </c>
      <c r="J361" s="8">
        <v>0</v>
      </c>
      <c r="K361" s="8" t="s">
        <v>22</v>
      </c>
      <c r="L361" s="8" t="s">
        <v>5</v>
      </c>
      <c r="M361" s="8">
        <v>2026</v>
      </c>
      <c r="N361" s="8">
        <v>2</v>
      </c>
      <c r="O361" s="8"/>
    </row>
    <row r="362" spans="2:15" x14ac:dyDescent="0.25">
      <c r="B362" s="8">
        <v>354</v>
      </c>
      <c r="C362" s="8" t="s">
        <v>123</v>
      </c>
      <c r="D362" s="10">
        <v>46073</v>
      </c>
      <c r="E362" s="8" t="s">
        <v>324</v>
      </c>
      <c r="F362" s="8" t="s">
        <v>21</v>
      </c>
      <c r="G362" s="8">
        <v>608</v>
      </c>
      <c r="H362" s="8">
        <v>0</v>
      </c>
      <c r="I362" s="8">
        <v>-608</v>
      </c>
      <c r="J362" s="8">
        <v>0</v>
      </c>
      <c r="K362" s="8" t="s">
        <v>22</v>
      </c>
      <c r="L362" s="8" t="s">
        <v>5</v>
      </c>
      <c r="M362" s="8">
        <v>2026</v>
      </c>
      <c r="N362" s="8">
        <v>2</v>
      </c>
      <c r="O362" s="8"/>
    </row>
    <row r="363" spans="2:15" x14ac:dyDescent="0.25">
      <c r="B363" s="8">
        <v>355</v>
      </c>
      <c r="C363" s="8" t="s">
        <v>122</v>
      </c>
      <c r="D363" s="10">
        <v>46074</v>
      </c>
      <c r="E363" s="8" t="s">
        <v>128</v>
      </c>
      <c r="F363" s="8" t="s">
        <v>25</v>
      </c>
      <c r="G363" s="8">
        <v>75</v>
      </c>
      <c r="H363" s="8">
        <v>0</v>
      </c>
      <c r="I363" s="8">
        <v>-75</v>
      </c>
      <c r="J363" s="8">
        <v>0</v>
      </c>
      <c r="K363" s="8" t="s">
        <v>22</v>
      </c>
      <c r="L363" s="8" t="s">
        <v>5</v>
      </c>
      <c r="M363" s="8">
        <v>2026</v>
      </c>
      <c r="N363" s="8">
        <v>2</v>
      </c>
      <c r="O363" s="8"/>
    </row>
    <row r="364" spans="2:15" x14ac:dyDescent="0.25">
      <c r="B364" s="8">
        <v>356</v>
      </c>
      <c r="C364" s="8" t="s">
        <v>123</v>
      </c>
      <c r="D364" s="10">
        <v>46074</v>
      </c>
      <c r="E364" s="8" t="s">
        <v>330</v>
      </c>
      <c r="F364" s="8" t="s">
        <v>10</v>
      </c>
      <c r="G364" s="8">
        <v>310</v>
      </c>
      <c r="H364" s="8">
        <v>0</v>
      </c>
      <c r="I364" s="8">
        <v>-310</v>
      </c>
      <c r="J364" s="8">
        <v>0</v>
      </c>
      <c r="K364" s="8" t="s">
        <v>9</v>
      </c>
      <c r="L364" s="8" t="s">
        <v>5</v>
      </c>
      <c r="M364" s="8">
        <v>2026</v>
      </c>
      <c r="N364" s="8">
        <v>2</v>
      </c>
      <c r="O364" s="8"/>
    </row>
    <row r="365" spans="2:15" x14ac:dyDescent="0.25">
      <c r="B365" s="8">
        <v>357</v>
      </c>
      <c r="C365" s="8" t="s">
        <v>122</v>
      </c>
      <c r="D365" s="10">
        <v>46075</v>
      </c>
      <c r="E365" s="8" t="s">
        <v>322</v>
      </c>
      <c r="F365" s="8" t="s">
        <v>25</v>
      </c>
      <c r="G365" s="8">
        <v>74</v>
      </c>
      <c r="H365" s="8">
        <v>0</v>
      </c>
      <c r="I365" s="8">
        <v>-74</v>
      </c>
      <c r="J365" s="8">
        <v>0</v>
      </c>
      <c r="K365" s="8" t="s">
        <v>22</v>
      </c>
      <c r="L365" s="8" t="s">
        <v>5</v>
      </c>
      <c r="M365" s="8">
        <v>2026</v>
      </c>
      <c r="N365" s="8">
        <v>2</v>
      </c>
      <c r="O365" s="8"/>
    </row>
    <row r="366" spans="2:15" x14ac:dyDescent="0.25">
      <c r="B366" s="8">
        <v>358</v>
      </c>
      <c r="C366" s="8" t="s">
        <v>122</v>
      </c>
      <c r="D366" s="10">
        <v>46075</v>
      </c>
      <c r="E366" s="8" t="s">
        <v>147</v>
      </c>
      <c r="F366" s="8" t="s">
        <v>25</v>
      </c>
      <c r="G366" s="8">
        <v>44</v>
      </c>
      <c r="H366" s="8">
        <v>0</v>
      </c>
      <c r="I366" s="8">
        <v>-44</v>
      </c>
      <c r="J366" s="8">
        <v>0</v>
      </c>
      <c r="K366" s="8" t="s">
        <v>22</v>
      </c>
      <c r="L366" s="8" t="s">
        <v>5</v>
      </c>
      <c r="M366" s="8">
        <v>2026</v>
      </c>
      <c r="N366" s="8">
        <v>2</v>
      </c>
      <c r="O366" s="8"/>
    </row>
    <row r="367" spans="2:15" x14ac:dyDescent="0.25">
      <c r="B367" s="8">
        <v>359</v>
      </c>
      <c r="C367" s="8" t="s">
        <v>122</v>
      </c>
      <c r="D367" s="10">
        <v>46075</v>
      </c>
      <c r="E367" s="8" t="s">
        <v>128</v>
      </c>
      <c r="F367" s="8" t="s">
        <v>25</v>
      </c>
      <c r="G367" s="8">
        <v>50</v>
      </c>
      <c r="H367" s="8">
        <v>0</v>
      </c>
      <c r="I367" s="8">
        <v>-50</v>
      </c>
      <c r="J367" s="8">
        <v>0</v>
      </c>
      <c r="K367" s="8" t="s">
        <v>22</v>
      </c>
      <c r="L367" s="8" t="s">
        <v>5</v>
      </c>
      <c r="M367" s="8">
        <v>2026</v>
      </c>
      <c r="N367" s="8">
        <v>2</v>
      </c>
      <c r="O367" s="8"/>
    </row>
    <row r="368" spans="2:15" x14ac:dyDescent="0.25">
      <c r="B368" s="8">
        <v>360</v>
      </c>
      <c r="C368" s="8" t="s">
        <v>122</v>
      </c>
      <c r="D368" s="10">
        <v>46075</v>
      </c>
      <c r="E368" s="8" t="s">
        <v>331</v>
      </c>
      <c r="F368" s="8" t="s">
        <v>10</v>
      </c>
      <c r="G368" s="8">
        <v>3042</v>
      </c>
      <c r="H368" s="8">
        <v>0</v>
      </c>
      <c r="I368" s="8">
        <v>-3042</v>
      </c>
      <c r="J368" s="8">
        <v>0</v>
      </c>
      <c r="K368" s="8" t="s">
        <v>9</v>
      </c>
      <c r="L368" s="8" t="s">
        <v>5</v>
      </c>
      <c r="M368" s="8">
        <v>2026</v>
      </c>
      <c r="N368" s="8">
        <v>2</v>
      </c>
      <c r="O368" s="8"/>
    </row>
    <row r="369" spans="2:15" x14ac:dyDescent="0.25">
      <c r="B369" s="8">
        <v>361</v>
      </c>
      <c r="C369" s="8" t="s">
        <v>123</v>
      </c>
      <c r="D369" s="10">
        <v>46075</v>
      </c>
      <c r="E369" s="8" t="s">
        <v>138</v>
      </c>
      <c r="F369" s="8" t="s">
        <v>26</v>
      </c>
      <c r="G369" s="8">
        <v>100</v>
      </c>
      <c r="H369" s="8">
        <v>0</v>
      </c>
      <c r="I369" s="8">
        <v>-100</v>
      </c>
      <c r="J369" s="8">
        <v>0</v>
      </c>
      <c r="K369" s="8" t="s">
        <v>22</v>
      </c>
      <c r="L369" s="8" t="s">
        <v>5</v>
      </c>
      <c r="M369" s="8">
        <v>2026</v>
      </c>
      <c r="N369" s="8">
        <v>2</v>
      </c>
      <c r="O369" s="8"/>
    </row>
    <row r="370" spans="2:15" x14ac:dyDescent="0.25">
      <c r="B370" s="8">
        <v>362</v>
      </c>
      <c r="C370" s="8" t="s">
        <v>123</v>
      </c>
      <c r="D370" s="10">
        <v>46075</v>
      </c>
      <c r="E370" s="8" t="s">
        <v>335</v>
      </c>
      <c r="F370" s="8" t="s">
        <v>10</v>
      </c>
      <c r="G370" s="8">
        <v>100</v>
      </c>
      <c r="H370" s="8">
        <v>0</v>
      </c>
      <c r="I370" s="8">
        <v>-100</v>
      </c>
      <c r="J370" s="8">
        <v>0</v>
      </c>
      <c r="K370" s="8" t="s">
        <v>9</v>
      </c>
      <c r="L370" s="8" t="s">
        <v>5</v>
      </c>
      <c r="M370" s="8">
        <v>2026</v>
      </c>
      <c r="N370" s="8">
        <v>2</v>
      </c>
      <c r="O370" s="8"/>
    </row>
    <row r="371" spans="2:15" x14ac:dyDescent="0.25">
      <c r="B371" s="8">
        <v>363</v>
      </c>
      <c r="C371" s="8" t="s">
        <v>123</v>
      </c>
      <c r="D371" s="10">
        <v>46076</v>
      </c>
      <c r="E371" s="8" t="s">
        <v>334</v>
      </c>
      <c r="F371" s="8" t="s">
        <v>10</v>
      </c>
      <c r="G371" s="8">
        <v>340</v>
      </c>
      <c r="H371" s="8">
        <v>0</v>
      </c>
      <c r="I371" s="8">
        <v>-340</v>
      </c>
      <c r="J371" s="8">
        <v>0</v>
      </c>
      <c r="K371" s="8" t="s">
        <v>9</v>
      </c>
      <c r="L371" s="8" t="s">
        <v>5</v>
      </c>
      <c r="M371" s="8">
        <v>2026</v>
      </c>
      <c r="N371" s="8">
        <v>2</v>
      </c>
      <c r="O371" s="8"/>
    </row>
    <row r="372" spans="2:15" x14ac:dyDescent="0.25">
      <c r="B372" s="8">
        <v>364</v>
      </c>
      <c r="C372" s="8" t="s">
        <v>122</v>
      </c>
      <c r="D372" s="10">
        <v>46078</v>
      </c>
      <c r="E372" s="8" t="s">
        <v>336</v>
      </c>
      <c r="F372" s="8" t="s">
        <v>21</v>
      </c>
      <c r="G372" s="8">
        <v>200</v>
      </c>
      <c r="H372" s="8">
        <v>0</v>
      </c>
      <c r="I372" s="8">
        <v>-200</v>
      </c>
      <c r="J372" s="8">
        <v>0</v>
      </c>
      <c r="K372" s="8" t="s">
        <v>22</v>
      </c>
      <c r="L372" s="8" t="s">
        <v>5</v>
      </c>
      <c r="M372" s="8">
        <v>2026</v>
      </c>
      <c r="N372" s="8">
        <v>2</v>
      </c>
      <c r="O372" s="8"/>
    </row>
    <row r="373" spans="2:15" x14ac:dyDescent="0.25">
      <c r="B373" s="8">
        <v>365</v>
      </c>
      <c r="C373" s="8" t="s">
        <v>123</v>
      </c>
      <c r="D373" s="10">
        <v>46078</v>
      </c>
      <c r="E373" s="8" t="s">
        <v>137</v>
      </c>
      <c r="F373" s="8" t="s">
        <v>25</v>
      </c>
      <c r="G373" s="8">
        <v>280</v>
      </c>
      <c r="H373" s="8">
        <v>0</v>
      </c>
      <c r="I373" s="8">
        <v>-280</v>
      </c>
      <c r="J373" s="8">
        <v>0</v>
      </c>
      <c r="K373" s="8" t="s">
        <v>22</v>
      </c>
      <c r="L373" s="8" t="s">
        <v>5</v>
      </c>
      <c r="M373" s="8">
        <v>2026</v>
      </c>
      <c r="N373" s="8">
        <v>2</v>
      </c>
      <c r="O373" s="8"/>
    </row>
    <row r="374" spans="2:15" x14ac:dyDescent="0.25">
      <c r="B374" s="8">
        <v>366</v>
      </c>
      <c r="C374" s="8" t="s">
        <v>123</v>
      </c>
      <c r="D374" s="10">
        <v>46079</v>
      </c>
      <c r="E374" s="8" t="s">
        <v>325</v>
      </c>
      <c r="F374" s="8" t="s">
        <v>21</v>
      </c>
      <c r="G374" s="8">
        <v>220</v>
      </c>
      <c r="H374" s="8">
        <v>0</v>
      </c>
      <c r="I374" s="8">
        <v>-220</v>
      </c>
      <c r="J374" s="8">
        <v>0</v>
      </c>
      <c r="K374" s="8" t="s">
        <v>22</v>
      </c>
      <c r="L374" s="8" t="s">
        <v>5</v>
      </c>
      <c r="M374" s="8">
        <v>2026</v>
      </c>
      <c r="N374" s="8">
        <v>2</v>
      </c>
      <c r="O374" s="8"/>
    </row>
    <row r="375" spans="2:15" x14ac:dyDescent="0.25">
      <c r="B375" s="8">
        <v>367</v>
      </c>
      <c r="C375" s="8" t="s">
        <v>122</v>
      </c>
      <c r="D375" s="10">
        <v>46082</v>
      </c>
      <c r="E375" s="8" t="s">
        <v>42</v>
      </c>
      <c r="F375" s="8" t="s">
        <v>85</v>
      </c>
      <c r="G375" s="8">
        <v>0</v>
      </c>
      <c r="H375" s="8">
        <v>57540</v>
      </c>
      <c r="I375" s="8">
        <v>57540</v>
      </c>
      <c r="J375" s="8">
        <v>0</v>
      </c>
      <c r="K375" s="8" t="s">
        <v>43</v>
      </c>
      <c r="L375" s="8" t="s">
        <v>44</v>
      </c>
      <c r="M375" s="8">
        <v>2026</v>
      </c>
      <c r="N375" s="8">
        <v>3</v>
      </c>
      <c r="O375" s="8"/>
    </row>
    <row r="376" spans="2:15" x14ac:dyDescent="0.25">
      <c r="B376" s="8">
        <v>368</v>
      </c>
      <c r="C376" s="8" t="s">
        <v>122</v>
      </c>
      <c r="D376" s="10">
        <v>46082</v>
      </c>
      <c r="E376" s="8" t="s">
        <v>326</v>
      </c>
      <c r="F376" s="8" t="s">
        <v>25</v>
      </c>
      <c r="G376" s="8">
        <v>1099</v>
      </c>
      <c r="H376" s="8">
        <v>0</v>
      </c>
      <c r="I376" s="8">
        <v>-1099</v>
      </c>
      <c r="J376" s="8">
        <v>0</v>
      </c>
      <c r="K376" s="8" t="s">
        <v>22</v>
      </c>
      <c r="L376" s="8" t="s">
        <v>5</v>
      </c>
      <c r="M376" s="8">
        <v>2026</v>
      </c>
      <c r="N376" s="8">
        <v>3</v>
      </c>
      <c r="O376" s="8"/>
    </row>
    <row r="377" spans="2:15" x14ac:dyDescent="0.25">
      <c r="B377" s="8">
        <v>369</v>
      </c>
      <c r="C377" s="8" t="s">
        <v>122</v>
      </c>
      <c r="D377" s="10">
        <v>46082</v>
      </c>
      <c r="E377" s="8" t="s">
        <v>328</v>
      </c>
      <c r="F377" s="8" t="s">
        <v>10</v>
      </c>
      <c r="G377" s="8">
        <v>532</v>
      </c>
      <c r="H377" s="8">
        <v>0</v>
      </c>
      <c r="I377" s="8">
        <v>-532</v>
      </c>
      <c r="J377" s="8">
        <v>0</v>
      </c>
      <c r="K377" s="8" t="s">
        <v>9</v>
      </c>
      <c r="L377" s="8" t="s">
        <v>5</v>
      </c>
      <c r="M377" s="8">
        <v>2026</v>
      </c>
      <c r="N377" s="8">
        <v>3</v>
      </c>
      <c r="O377" s="8"/>
    </row>
    <row r="378" spans="2:15" x14ac:dyDescent="0.25">
      <c r="B378" s="8">
        <v>370</v>
      </c>
      <c r="C378" s="8" t="s">
        <v>122</v>
      </c>
      <c r="D378" s="10">
        <v>46082</v>
      </c>
      <c r="E378" s="8" t="s">
        <v>329</v>
      </c>
      <c r="F378" s="8" t="s">
        <v>10</v>
      </c>
      <c r="G378" s="8">
        <v>1430</v>
      </c>
      <c r="H378" s="8">
        <v>0</v>
      </c>
      <c r="I378" s="8">
        <v>-1430</v>
      </c>
      <c r="J378" s="8">
        <v>0</v>
      </c>
      <c r="K378" s="8" t="s">
        <v>9</v>
      </c>
      <c r="L378" s="8" t="s">
        <v>5</v>
      </c>
      <c r="M378" s="8">
        <v>2026</v>
      </c>
      <c r="N378" s="8">
        <v>3</v>
      </c>
      <c r="O378" s="8"/>
    </row>
    <row r="379" spans="2:15" x14ac:dyDescent="0.25">
      <c r="B379" s="8">
        <v>371</v>
      </c>
      <c r="C379" s="8" t="s">
        <v>122</v>
      </c>
      <c r="D379" s="10">
        <v>46082</v>
      </c>
      <c r="E379" s="8" t="s">
        <v>332</v>
      </c>
      <c r="F379" s="8" t="s">
        <v>25</v>
      </c>
      <c r="G379" s="8">
        <v>1144</v>
      </c>
      <c r="H379" s="8">
        <v>0</v>
      </c>
      <c r="I379" s="8">
        <v>-1144</v>
      </c>
      <c r="J379" s="8">
        <v>0</v>
      </c>
      <c r="K379" s="8" t="s">
        <v>22</v>
      </c>
      <c r="L379" s="8" t="s">
        <v>5</v>
      </c>
      <c r="M379" s="8">
        <v>2026</v>
      </c>
      <c r="N379" s="8">
        <v>3</v>
      </c>
      <c r="O379" s="8"/>
    </row>
    <row r="380" spans="2:15" x14ac:dyDescent="0.25">
      <c r="B380" s="8">
        <v>372</v>
      </c>
      <c r="C380" s="8" t="s">
        <v>122</v>
      </c>
      <c r="D380" s="10">
        <v>46082</v>
      </c>
      <c r="E380" s="8" t="s">
        <v>338</v>
      </c>
      <c r="F380" s="8" t="s">
        <v>218</v>
      </c>
      <c r="G380" s="8">
        <v>859</v>
      </c>
      <c r="H380" s="8">
        <v>0</v>
      </c>
      <c r="I380" s="8">
        <v>-859</v>
      </c>
      <c r="J380" s="8">
        <v>0</v>
      </c>
      <c r="K380" s="8" t="s">
        <v>19</v>
      </c>
      <c r="L380" s="8" t="s">
        <v>5</v>
      </c>
      <c r="M380" s="8">
        <v>2026</v>
      </c>
      <c r="N380" s="8">
        <v>3</v>
      </c>
      <c r="O380" s="8"/>
    </row>
    <row r="381" spans="2:15" x14ac:dyDescent="0.25">
      <c r="B381" s="8">
        <v>373</v>
      </c>
      <c r="C381" s="8" t="s">
        <v>122</v>
      </c>
      <c r="D381" s="10">
        <v>46082</v>
      </c>
      <c r="E381" s="8" t="s">
        <v>256</v>
      </c>
      <c r="F381" s="8" t="s">
        <v>83</v>
      </c>
      <c r="G381" s="8">
        <v>5115</v>
      </c>
      <c r="H381" s="8">
        <v>0</v>
      </c>
      <c r="I381" s="8">
        <v>-5115</v>
      </c>
      <c r="J381" s="8">
        <v>0</v>
      </c>
      <c r="K381" s="8" t="s">
        <v>38</v>
      </c>
      <c r="L381" s="8" t="s">
        <v>5</v>
      </c>
      <c r="M381" s="8">
        <v>2026</v>
      </c>
      <c r="N381" s="8">
        <v>3</v>
      </c>
      <c r="O381" s="8"/>
    </row>
    <row r="382" spans="2:15" x14ac:dyDescent="0.25">
      <c r="B382" s="8">
        <v>374</v>
      </c>
      <c r="C382" s="8" t="s">
        <v>122</v>
      </c>
      <c r="D382" s="10">
        <v>46082</v>
      </c>
      <c r="E382" s="8" t="s">
        <v>340</v>
      </c>
      <c r="F382" s="8" t="s">
        <v>25</v>
      </c>
      <c r="G382" s="8">
        <v>40</v>
      </c>
      <c r="H382" s="8">
        <v>0</v>
      </c>
      <c r="I382" s="8">
        <v>-40</v>
      </c>
      <c r="J382" s="8">
        <v>0</v>
      </c>
      <c r="K382" s="8" t="s">
        <v>22</v>
      </c>
      <c r="L382" s="8" t="s">
        <v>5</v>
      </c>
      <c r="M382" s="8">
        <v>2026</v>
      </c>
      <c r="N382" s="8">
        <v>3</v>
      </c>
      <c r="O382" s="8"/>
    </row>
    <row r="383" spans="2:15" x14ac:dyDescent="0.25">
      <c r="B383" s="8">
        <v>375</v>
      </c>
      <c r="C383" s="8" t="s">
        <v>122</v>
      </c>
      <c r="D383" s="10">
        <v>46082</v>
      </c>
      <c r="E383" s="8" t="s">
        <v>340</v>
      </c>
      <c r="F383" s="8" t="s">
        <v>7</v>
      </c>
      <c r="G383" s="8">
        <v>900</v>
      </c>
      <c r="H383" s="8">
        <v>0</v>
      </c>
      <c r="I383" s="8">
        <v>-900</v>
      </c>
      <c r="J383" s="8">
        <v>0</v>
      </c>
      <c r="K383" s="8" t="s">
        <v>4</v>
      </c>
      <c r="L383" s="8" t="s">
        <v>5</v>
      </c>
      <c r="M383" s="8">
        <v>2026</v>
      </c>
      <c r="N383" s="8">
        <v>3</v>
      </c>
      <c r="O383" s="8"/>
    </row>
    <row r="384" spans="2:15" x14ac:dyDescent="0.25">
      <c r="B384" s="8">
        <v>376</v>
      </c>
      <c r="C384" s="8" t="s">
        <v>122</v>
      </c>
      <c r="D384" s="10">
        <v>46082</v>
      </c>
      <c r="E384" s="8" t="s">
        <v>341</v>
      </c>
      <c r="F384" s="8" t="s">
        <v>25</v>
      </c>
      <c r="G384" s="8">
        <v>300</v>
      </c>
      <c r="H384" s="8">
        <v>0</v>
      </c>
      <c r="I384" s="8">
        <v>-300</v>
      </c>
      <c r="J384" s="8">
        <v>0</v>
      </c>
      <c r="K384" s="8" t="s">
        <v>22</v>
      </c>
      <c r="L384" s="8" t="s">
        <v>5</v>
      </c>
      <c r="M384" s="8">
        <v>2026</v>
      </c>
      <c r="N384" s="8">
        <v>3</v>
      </c>
      <c r="O384" s="8"/>
    </row>
    <row r="385" spans="2:15" x14ac:dyDescent="0.25">
      <c r="B385" s="8">
        <v>377</v>
      </c>
      <c r="C385" s="8" t="s">
        <v>122</v>
      </c>
      <c r="D385" s="10">
        <v>46082</v>
      </c>
      <c r="E385" s="8" t="s">
        <v>158</v>
      </c>
      <c r="F385" s="8" t="s">
        <v>8</v>
      </c>
      <c r="G385" s="8">
        <v>300</v>
      </c>
      <c r="H385" s="8">
        <v>0</v>
      </c>
      <c r="I385" s="8">
        <v>-300</v>
      </c>
      <c r="J385" s="8">
        <v>0</v>
      </c>
      <c r="K385" s="8" t="s">
        <v>9</v>
      </c>
      <c r="L385" s="8" t="s">
        <v>5</v>
      </c>
      <c r="M385" s="8">
        <v>2026</v>
      </c>
      <c r="N385" s="8">
        <v>3</v>
      </c>
      <c r="O385" s="8"/>
    </row>
    <row r="386" spans="2:15" x14ac:dyDescent="0.25">
      <c r="B386" s="8">
        <v>378</v>
      </c>
      <c r="C386" s="8" t="s">
        <v>122</v>
      </c>
      <c r="D386" s="10">
        <v>46082</v>
      </c>
      <c r="E386" s="8" t="s">
        <v>147</v>
      </c>
      <c r="F386" s="8" t="s">
        <v>25</v>
      </c>
      <c r="G386" s="8">
        <v>60</v>
      </c>
      <c r="H386" s="8">
        <v>0</v>
      </c>
      <c r="I386" s="8">
        <v>-60</v>
      </c>
      <c r="J386" s="8">
        <v>0</v>
      </c>
      <c r="K386" s="8" t="s">
        <v>22</v>
      </c>
      <c r="L386" s="8" t="s">
        <v>5</v>
      </c>
      <c r="M386" s="8">
        <v>2026</v>
      </c>
      <c r="N386" s="8">
        <v>3</v>
      </c>
      <c r="O386" s="8"/>
    </row>
    <row r="387" spans="2:15" x14ac:dyDescent="0.25">
      <c r="B387" s="8">
        <v>379</v>
      </c>
      <c r="C387" s="8" t="s">
        <v>122</v>
      </c>
      <c r="D387" s="10">
        <v>46082</v>
      </c>
      <c r="E387" s="8" t="s">
        <v>343</v>
      </c>
      <c r="F387" s="8" t="s">
        <v>25</v>
      </c>
      <c r="G387" s="8">
        <v>40</v>
      </c>
      <c r="H387" s="8">
        <v>0</v>
      </c>
      <c r="I387" s="8">
        <v>-40</v>
      </c>
      <c r="J387" s="8">
        <v>0</v>
      </c>
      <c r="K387" s="8" t="s">
        <v>22</v>
      </c>
      <c r="L387" s="8" t="s">
        <v>5</v>
      </c>
      <c r="M387" s="8">
        <v>2026</v>
      </c>
      <c r="N387" s="8">
        <v>3</v>
      </c>
      <c r="O387" s="8"/>
    </row>
    <row r="388" spans="2:15" x14ac:dyDescent="0.25">
      <c r="B388" s="8">
        <v>380</v>
      </c>
      <c r="C388" s="8" t="s">
        <v>122</v>
      </c>
      <c r="D388" s="10">
        <v>46082</v>
      </c>
      <c r="E388" s="8" t="s">
        <v>221</v>
      </c>
      <c r="F388" s="8" t="s">
        <v>25</v>
      </c>
      <c r="G388" s="8">
        <v>100</v>
      </c>
      <c r="H388" s="8">
        <v>0</v>
      </c>
      <c r="I388" s="8">
        <v>-100</v>
      </c>
      <c r="J388" s="8">
        <v>0</v>
      </c>
      <c r="K388" s="8" t="s">
        <v>22</v>
      </c>
      <c r="L388" s="8" t="s">
        <v>5</v>
      </c>
      <c r="M388" s="8">
        <v>2026</v>
      </c>
      <c r="N388" s="8">
        <v>3</v>
      </c>
      <c r="O388" s="8"/>
    </row>
    <row r="389" spans="2:15" x14ac:dyDescent="0.25">
      <c r="B389" s="8">
        <v>381</v>
      </c>
      <c r="C389" s="8" t="s">
        <v>122</v>
      </c>
      <c r="D389" s="10">
        <v>46082</v>
      </c>
      <c r="E389" s="8" t="s">
        <v>344</v>
      </c>
      <c r="F389" s="8" t="s">
        <v>7</v>
      </c>
      <c r="G389" s="8">
        <v>20</v>
      </c>
      <c r="H389" s="8">
        <v>0</v>
      </c>
      <c r="I389" s="8">
        <v>-20</v>
      </c>
      <c r="J389" s="8">
        <v>0</v>
      </c>
      <c r="K389" s="8" t="s">
        <v>4</v>
      </c>
      <c r="L389" s="8" t="s">
        <v>5</v>
      </c>
      <c r="M389" s="8">
        <v>2026</v>
      </c>
      <c r="N389" s="8">
        <v>3</v>
      </c>
      <c r="O389" s="8"/>
    </row>
    <row r="390" spans="2:15" x14ac:dyDescent="0.25">
      <c r="B390" s="8">
        <v>382</v>
      </c>
      <c r="C390" s="8" t="s">
        <v>122</v>
      </c>
      <c r="D390" s="10">
        <v>46082</v>
      </c>
      <c r="E390" s="8" t="s">
        <v>346</v>
      </c>
      <c r="F390" s="8" t="s">
        <v>26</v>
      </c>
      <c r="G390" s="8">
        <v>40</v>
      </c>
      <c r="H390" s="8">
        <v>0</v>
      </c>
      <c r="I390" s="8">
        <v>-40</v>
      </c>
      <c r="J390" s="8">
        <v>0</v>
      </c>
      <c r="K390" s="8" t="s">
        <v>22</v>
      </c>
      <c r="L390" s="8" t="s">
        <v>5</v>
      </c>
      <c r="M390" s="8">
        <v>2026</v>
      </c>
      <c r="N390" s="8">
        <v>3</v>
      </c>
      <c r="O390" s="8"/>
    </row>
    <row r="391" spans="2:15" x14ac:dyDescent="0.25">
      <c r="B391" s="8">
        <v>383</v>
      </c>
      <c r="C391" s="8" t="s">
        <v>122</v>
      </c>
      <c r="D391" s="10">
        <v>46082</v>
      </c>
      <c r="E391" s="8" t="s">
        <v>347</v>
      </c>
      <c r="F391" s="8" t="s">
        <v>24</v>
      </c>
      <c r="G391" s="8">
        <v>1200</v>
      </c>
      <c r="H391" s="8">
        <v>0</v>
      </c>
      <c r="I391" s="8">
        <v>-1200</v>
      </c>
      <c r="J391" s="8">
        <v>0</v>
      </c>
      <c r="K391" s="8" t="s">
        <v>22</v>
      </c>
      <c r="L391" s="8" t="s">
        <v>5</v>
      </c>
      <c r="M391" s="8">
        <v>2026</v>
      </c>
      <c r="N391" s="8">
        <v>3</v>
      </c>
      <c r="O391" s="8"/>
    </row>
    <row r="392" spans="2:15" x14ac:dyDescent="0.25">
      <c r="B392" s="8">
        <v>384</v>
      </c>
      <c r="C392" s="8" t="s">
        <v>122</v>
      </c>
      <c r="D392" s="10">
        <v>46082</v>
      </c>
      <c r="E392" s="8" t="s">
        <v>347</v>
      </c>
      <c r="F392" s="8" t="s">
        <v>24</v>
      </c>
      <c r="G392" s="8">
        <v>1500</v>
      </c>
      <c r="H392" s="8">
        <v>0</v>
      </c>
      <c r="I392" s="8">
        <v>-1500</v>
      </c>
      <c r="J392" s="8">
        <v>0</v>
      </c>
      <c r="K392" s="8" t="s">
        <v>22</v>
      </c>
      <c r="L392" s="8" t="s">
        <v>5</v>
      </c>
      <c r="M392" s="8">
        <v>2026</v>
      </c>
      <c r="N392" s="8">
        <v>3</v>
      </c>
      <c r="O392" s="8"/>
    </row>
    <row r="393" spans="2:15" x14ac:dyDescent="0.25">
      <c r="B393" s="8">
        <v>385</v>
      </c>
      <c r="C393" s="8" t="s">
        <v>122</v>
      </c>
      <c r="D393" s="10">
        <v>46082</v>
      </c>
      <c r="E393" s="8" t="s">
        <v>348</v>
      </c>
      <c r="F393" s="8" t="s">
        <v>10</v>
      </c>
      <c r="G393" s="8">
        <v>20</v>
      </c>
      <c r="H393" s="8">
        <v>0</v>
      </c>
      <c r="I393" s="8">
        <v>-20</v>
      </c>
      <c r="J393" s="8">
        <v>0</v>
      </c>
      <c r="K393" s="8" t="s">
        <v>9</v>
      </c>
      <c r="L393" s="8" t="s">
        <v>5</v>
      </c>
      <c r="M393" s="8">
        <v>2026</v>
      </c>
      <c r="N393" s="8">
        <v>3</v>
      </c>
      <c r="O393" s="8"/>
    </row>
    <row r="394" spans="2:15" x14ac:dyDescent="0.25">
      <c r="B394" s="8">
        <v>386</v>
      </c>
      <c r="C394" s="8" t="s">
        <v>122</v>
      </c>
      <c r="D394" s="10">
        <v>46082</v>
      </c>
      <c r="E394" s="8" t="s">
        <v>349</v>
      </c>
      <c r="F394" s="8" t="s">
        <v>25</v>
      </c>
      <c r="G394" s="8">
        <v>220</v>
      </c>
      <c r="H394" s="8">
        <v>0</v>
      </c>
      <c r="I394" s="8">
        <v>-220</v>
      </c>
      <c r="J394" s="8">
        <v>0</v>
      </c>
      <c r="K394" s="8" t="s">
        <v>22</v>
      </c>
      <c r="L394" s="8" t="s">
        <v>5</v>
      </c>
      <c r="M394" s="8">
        <v>2026</v>
      </c>
      <c r="N394" s="8">
        <v>3</v>
      </c>
      <c r="O394" s="8"/>
    </row>
    <row r="395" spans="2:15" x14ac:dyDescent="0.25">
      <c r="B395" s="8">
        <v>387</v>
      </c>
      <c r="C395" s="8" t="s">
        <v>122</v>
      </c>
      <c r="D395" s="10">
        <v>46082</v>
      </c>
      <c r="E395" s="8" t="s">
        <v>350</v>
      </c>
      <c r="F395" s="8" t="s">
        <v>25</v>
      </c>
      <c r="G395" s="8">
        <v>75</v>
      </c>
      <c r="H395" s="8">
        <v>0</v>
      </c>
      <c r="I395" s="8">
        <v>-75</v>
      </c>
      <c r="J395" s="8">
        <v>0</v>
      </c>
      <c r="K395" s="8" t="s">
        <v>22</v>
      </c>
      <c r="L395" s="8" t="s">
        <v>5</v>
      </c>
      <c r="M395" s="8">
        <v>2026</v>
      </c>
      <c r="N395" s="8">
        <v>3</v>
      </c>
      <c r="O395" s="8"/>
    </row>
    <row r="396" spans="2:15" x14ac:dyDescent="0.25">
      <c r="B396" s="8">
        <v>388</v>
      </c>
      <c r="C396" s="8" t="s">
        <v>122</v>
      </c>
      <c r="D396" s="10">
        <v>46082</v>
      </c>
      <c r="E396" s="8" t="s">
        <v>351</v>
      </c>
      <c r="F396" s="8" t="s">
        <v>25</v>
      </c>
      <c r="G396" s="8">
        <v>378</v>
      </c>
      <c r="H396" s="8">
        <v>0</v>
      </c>
      <c r="I396" s="8">
        <v>-378</v>
      </c>
      <c r="J396" s="8">
        <v>0</v>
      </c>
      <c r="K396" s="8" t="s">
        <v>22</v>
      </c>
      <c r="L396" s="8" t="s">
        <v>5</v>
      </c>
      <c r="M396" s="8">
        <v>2026</v>
      </c>
      <c r="N396" s="8">
        <v>3</v>
      </c>
      <c r="O396" s="8"/>
    </row>
    <row r="397" spans="2:15" x14ac:dyDescent="0.25">
      <c r="B397" s="8">
        <v>389</v>
      </c>
      <c r="C397" s="8" t="s">
        <v>122</v>
      </c>
      <c r="D397" s="10">
        <v>46082</v>
      </c>
      <c r="E397" s="8" t="s">
        <v>368</v>
      </c>
      <c r="F397" s="8" t="s">
        <v>21</v>
      </c>
      <c r="G397" s="8">
        <v>200</v>
      </c>
      <c r="H397" s="8">
        <v>0</v>
      </c>
      <c r="I397" s="8">
        <v>-200</v>
      </c>
      <c r="J397" s="8">
        <v>0</v>
      </c>
      <c r="K397" s="8" t="s">
        <v>22</v>
      </c>
      <c r="L397" s="8" t="s">
        <v>5</v>
      </c>
      <c r="M397" s="8">
        <v>2026</v>
      </c>
      <c r="N397" s="8">
        <v>3</v>
      </c>
      <c r="O397" s="8"/>
    </row>
    <row r="398" spans="2:15" x14ac:dyDescent="0.25">
      <c r="B398" s="8">
        <v>390</v>
      </c>
      <c r="C398" s="8" t="s">
        <v>123</v>
      </c>
      <c r="D398" s="10">
        <v>46082</v>
      </c>
      <c r="E398" s="8" t="s">
        <v>185</v>
      </c>
      <c r="F398" s="8" t="s">
        <v>84</v>
      </c>
      <c r="G398" s="8">
        <v>1000</v>
      </c>
      <c r="H398" s="8">
        <v>0</v>
      </c>
      <c r="I398" s="8">
        <v>-1000</v>
      </c>
      <c r="J398" s="8">
        <v>0</v>
      </c>
      <c r="K398" s="8" t="s">
        <v>38</v>
      </c>
      <c r="L398" s="8" t="s">
        <v>5</v>
      </c>
      <c r="M398" s="8">
        <v>2026</v>
      </c>
      <c r="N398" s="8">
        <v>3</v>
      </c>
      <c r="O398" s="8"/>
    </row>
    <row r="399" spans="2:15" x14ac:dyDescent="0.25">
      <c r="B399" s="8">
        <v>391</v>
      </c>
      <c r="C399" s="8" t="s">
        <v>123</v>
      </c>
      <c r="D399" s="10">
        <v>46082</v>
      </c>
      <c r="E399" s="8" t="s">
        <v>42</v>
      </c>
      <c r="F399" s="8" t="s">
        <v>86</v>
      </c>
      <c r="G399" s="8">
        <v>0</v>
      </c>
      <c r="H399" s="8">
        <v>43500</v>
      </c>
      <c r="I399" s="8">
        <v>43500</v>
      </c>
      <c r="J399" s="8">
        <v>0</v>
      </c>
      <c r="K399" s="8" t="s">
        <v>43</v>
      </c>
      <c r="L399" s="8" t="s">
        <v>44</v>
      </c>
      <c r="M399" s="8">
        <v>2026</v>
      </c>
      <c r="N399" s="8">
        <v>3</v>
      </c>
      <c r="O399" s="8"/>
    </row>
    <row r="400" spans="2:15" x14ac:dyDescent="0.25">
      <c r="B400" s="8">
        <v>392</v>
      </c>
      <c r="C400" s="8" t="s">
        <v>123</v>
      </c>
      <c r="D400" s="10">
        <v>46082</v>
      </c>
      <c r="E400" s="8" t="s">
        <v>339</v>
      </c>
      <c r="F400" s="8" t="s">
        <v>36</v>
      </c>
      <c r="G400" s="8">
        <v>3000</v>
      </c>
      <c r="H400" s="8">
        <v>0</v>
      </c>
      <c r="I400" s="8">
        <v>-3000</v>
      </c>
      <c r="J400" s="8">
        <v>0</v>
      </c>
      <c r="K400" s="8" t="s">
        <v>34</v>
      </c>
      <c r="L400" s="8" t="s">
        <v>35</v>
      </c>
      <c r="M400" s="8">
        <v>2026</v>
      </c>
      <c r="N400" s="8">
        <v>3</v>
      </c>
      <c r="O400" s="8"/>
    </row>
    <row r="401" spans="2:15" x14ac:dyDescent="0.25">
      <c r="B401" s="8">
        <v>393</v>
      </c>
      <c r="C401" s="8" t="s">
        <v>123</v>
      </c>
      <c r="D401" s="10">
        <v>46082</v>
      </c>
      <c r="E401" s="8" t="s">
        <v>352</v>
      </c>
      <c r="F401" s="8" t="s">
        <v>7</v>
      </c>
      <c r="G401" s="8">
        <v>496</v>
      </c>
      <c r="H401" s="8">
        <v>0</v>
      </c>
      <c r="I401" s="8">
        <v>-496</v>
      </c>
      <c r="J401" s="8">
        <v>0</v>
      </c>
      <c r="K401" s="8" t="s">
        <v>4</v>
      </c>
      <c r="L401" s="8" t="s">
        <v>5</v>
      </c>
      <c r="M401" s="8">
        <v>2026</v>
      </c>
      <c r="N401" s="8">
        <v>3</v>
      </c>
      <c r="O401" s="8"/>
    </row>
    <row r="402" spans="2:15" x14ac:dyDescent="0.25">
      <c r="B402" s="8">
        <v>394</v>
      </c>
      <c r="C402" s="8" t="s">
        <v>123</v>
      </c>
      <c r="D402" s="10">
        <v>46082</v>
      </c>
      <c r="E402" s="8" t="s">
        <v>353</v>
      </c>
      <c r="F402" s="8" t="s">
        <v>24</v>
      </c>
      <c r="G402" s="8">
        <v>1829</v>
      </c>
      <c r="H402" s="8">
        <v>0</v>
      </c>
      <c r="I402" s="8">
        <v>-1829</v>
      </c>
      <c r="J402" s="8">
        <v>0</v>
      </c>
      <c r="K402" s="8" t="s">
        <v>22</v>
      </c>
      <c r="L402" s="8" t="s">
        <v>5</v>
      </c>
      <c r="M402" s="8">
        <v>2026</v>
      </c>
      <c r="N402" s="8">
        <v>3</v>
      </c>
      <c r="O402" s="8"/>
    </row>
    <row r="403" spans="2:15" x14ac:dyDescent="0.25">
      <c r="B403" s="8">
        <v>395</v>
      </c>
      <c r="C403" s="8" t="s">
        <v>123</v>
      </c>
      <c r="D403" s="10">
        <v>46082</v>
      </c>
      <c r="E403" s="8" t="s">
        <v>354</v>
      </c>
      <c r="F403" s="8" t="s">
        <v>7</v>
      </c>
      <c r="G403" s="8">
        <v>157</v>
      </c>
      <c r="H403" s="8">
        <v>0</v>
      </c>
      <c r="I403" s="8">
        <v>-157</v>
      </c>
      <c r="J403" s="8">
        <v>0</v>
      </c>
      <c r="K403" s="8" t="s">
        <v>4</v>
      </c>
      <c r="L403" s="8" t="s">
        <v>5</v>
      </c>
      <c r="M403" s="8">
        <v>2026</v>
      </c>
      <c r="N403" s="8">
        <v>3</v>
      </c>
      <c r="O403" s="8"/>
    </row>
    <row r="404" spans="2:15" x14ac:dyDescent="0.25">
      <c r="B404" s="8">
        <v>396</v>
      </c>
      <c r="C404" s="8" t="s">
        <v>123</v>
      </c>
      <c r="D404" s="10">
        <v>46082</v>
      </c>
      <c r="E404" s="8" t="s">
        <v>342</v>
      </c>
      <c r="F404" s="8" t="s">
        <v>25</v>
      </c>
      <c r="G404" s="8">
        <v>85</v>
      </c>
      <c r="H404" s="8">
        <v>0</v>
      </c>
      <c r="I404" s="8">
        <v>-85</v>
      </c>
      <c r="J404" s="8">
        <v>0</v>
      </c>
      <c r="K404" s="8" t="s">
        <v>22</v>
      </c>
      <c r="L404" s="8" t="s">
        <v>5</v>
      </c>
      <c r="M404" s="8">
        <v>2026</v>
      </c>
      <c r="N404" s="8">
        <v>3</v>
      </c>
      <c r="O404" s="8"/>
    </row>
    <row r="405" spans="2:15" x14ac:dyDescent="0.25">
      <c r="B405" s="8">
        <v>397</v>
      </c>
      <c r="C405" s="8" t="s">
        <v>123</v>
      </c>
      <c r="D405" s="10">
        <v>46082</v>
      </c>
      <c r="E405" s="8" t="s">
        <v>355</v>
      </c>
      <c r="F405" s="8" t="s">
        <v>14</v>
      </c>
      <c r="G405" s="8">
        <v>150</v>
      </c>
      <c r="H405" s="8">
        <v>0</v>
      </c>
      <c r="I405" s="8">
        <v>-150</v>
      </c>
      <c r="J405" s="8">
        <v>0</v>
      </c>
      <c r="K405" s="8" t="s">
        <v>13</v>
      </c>
      <c r="L405" s="8" t="s">
        <v>5</v>
      </c>
      <c r="M405" s="8">
        <v>2026</v>
      </c>
      <c r="N405" s="8">
        <v>3</v>
      </c>
      <c r="O405" s="8"/>
    </row>
    <row r="406" spans="2:15" x14ac:dyDescent="0.25">
      <c r="B406" s="8">
        <v>398</v>
      </c>
      <c r="C406" s="8" t="s">
        <v>123</v>
      </c>
      <c r="D406" s="10">
        <v>46082</v>
      </c>
      <c r="E406" s="8" t="s">
        <v>356</v>
      </c>
      <c r="F406" s="8" t="s">
        <v>14</v>
      </c>
      <c r="G406" s="8">
        <v>280</v>
      </c>
      <c r="H406" s="8">
        <v>0</v>
      </c>
      <c r="I406" s="8">
        <v>-280</v>
      </c>
      <c r="J406" s="8">
        <v>0</v>
      </c>
      <c r="K406" s="8" t="s">
        <v>13</v>
      </c>
      <c r="L406" s="8" t="s">
        <v>5</v>
      </c>
      <c r="M406" s="8">
        <v>2026</v>
      </c>
      <c r="N406" s="8">
        <v>3</v>
      </c>
      <c r="O406" s="8"/>
    </row>
    <row r="407" spans="2:15" x14ac:dyDescent="0.25">
      <c r="B407" s="8">
        <v>399</v>
      </c>
      <c r="C407" s="8" t="s">
        <v>123</v>
      </c>
      <c r="D407" s="10">
        <v>46082</v>
      </c>
      <c r="E407" s="8" t="s">
        <v>356</v>
      </c>
      <c r="F407" s="8" t="s">
        <v>26</v>
      </c>
      <c r="G407" s="8">
        <v>1000</v>
      </c>
      <c r="H407" s="8">
        <v>0</v>
      </c>
      <c r="I407" s="8">
        <v>-1000</v>
      </c>
      <c r="J407" s="8">
        <v>0</v>
      </c>
      <c r="K407" s="8" t="s">
        <v>22</v>
      </c>
      <c r="L407" s="8" t="s">
        <v>5</v>
      </c>
      <c r="M407" s="8">
        <v>2026</v>
      </c>
      <c r="N407" s="8">
        <v>3</v>
      </c>
      <c r="O407" s="8"/>
    </row>
    <row r="408" spans="2:15" x14ac:dyDescent="0.25">
      <c r="B408" s="8">
        <v>400</v>
      </c>
      <c r="C408" s="8" t="s">
        <v>123</v>
      </c>
      <c r="D408" s="10">
        <v>46082</v>
      </c>
      <c r="E408" s="8" t="s">
        <v>311</v>
      </c>
      <c r="F408" s="8" t="s">
        <v>25</v>
      </c>
      <c r="G408" s="8">
        <v>50</v>
      </c>
      <c r="H408" s="8">
        <v>0</v>
      </c>
      <c r="I408" s="8">
        <v>-50</v>
      </c>
      <c r="J408" s="8">
        <v>0</v>
      </c>
      <c r="K408" s="8" t="s">
        <v>22</v>
      </c>
      <c r="L408" s="8" t="s">
        <v>5</v>
      </c>
      <c r="M408" s="8">
        <v>2026</v>
      </c>
      <c r="N408" s="8">
        <v>3</v>
      </c>
      <c r="O408" s="8"/>
    </row>
    <row r="409" spans="2:15" x14ac:dyDescent="0.25">
      <c r="B409" s="8">
        <v>401</v>
      </c>
      <c r="C409" s="8" t="s">
        <v>123</v>
      </c>
      <c r="D409" s="10">
        <v>46082</v>
      </c>
      <c r="E409" s="8" t="s">
        <v>357</v>
      </c>
      <c r="F409" s="8" t="s">
        <v>24</v>
      </c>
      <c r="G409" s="8">
        <v>850</v>
      </c>
      <c r="H409" s="8">
        <v>0</v>
      </c>
      <c r="I409" s="8">
        <v>-850</v>
      </c>
      <c r="J409" s="8">
        <v>0</v>
      </c>
      <c r="K409" s="8" t="s">
        <v>22</v>
      </c>
      <c r="L409" s="8" t="s">
        <v>5</v>
      </c>
      <c r="M409" s="8">
        <v>2026</v>
      </c>
      <c r="N409" s="8">
        <v>3</v>
      </c>
      <c r="O409" s="8"/>
    </row>
    <row r="410" spans="2:15" x14ac:dyDescent="0.25">
      <c r="B410" s="8">
        <v>402</v>
      </c>
      <c r="C410" s="8" t="s">
        <v>123</v>
      </c>
      <c r="D410" s="10">
        <v>46082</v>
      </c>
      <c r="E410" s="8" t="s">
        <v>358</v>
      </c>
      <c r="F410" s="8" t="s">
        <v>25</v>
      </c>
      <c r="G410" s="8">
        <v>60</v>
      </c>
      <c r="H410" s="8">
        <v>0</v>
      </c>
      <c r="I410" s="8">
        <v>-60</v>
      </c>
      <c r="J410" s="8">
        <v>0</v>
      </c>
      <c r="K410" s="8" t="s">
        <v>22</v>
      </c>
      <c r="L410" s="8" t="s">
        <v>5</v>
      </c>
      <c r="M410" s="8">
        <v>2026</v>
      </c>
      <c r="N410" s="8">
        <v>3</v>
      </c>
      <c r="O410" s="8"/>
    </row>
    <row r="411" spans="2:15" x14ac:dyDescent="0.25">
      <c r="B411" s="8">
        <v>403</v>
      </c>
      <c r="C411" s="8" t="s">
        <v>122</v>
      </c>
      <c r="D411" s="10">
        <v>46083</v>
      </c>
      <c r="E411" s="8" t="s">
        <v>359</v>
      </c>
      <c r="F411" s="8" t="s">
        <v>12</v>
      </c>
      <c r="G411" s="8">
        <v>500</v>
      </c>
      <c r="H411" s="8">
        <v>0</v>
      </c>
      <c r="I411" s="8">
        <v>-500</v>
      </c>
      <c r="J411" s="8">
        <v>0</v>
      </c>
      <c r="K411" s="8" t="s">
        <v>13</v>
      </c>
      <c r="L411" s="8" t="s">
        <v>5</v>
      </c>
      <c r="M411" s="8">
        <v>2026</v>
      </c>
      <c r="N411" s="8">
        <v>3</v>
      </c>
      <c r="O411" s="8"/>
    </row>
    <row r="412" spans="2:15" x14ac:dyDescent="0.25">
      <c r="B412" s="8">
        <v>404</v>
      </c>
      <c r="C412" s="8" t="s">
        <v>122</v>
      </c>
      <c r="D412" s="10">
        <v>46083</v>
      </c>
      <c r="E412" s="8" t="s">
        <v>152</v>
      </c>
      <c r="F412" s="8" t="s">
        <v>14</v>
      </c>
      <c r="G412" s="8">
        <v>231</v>
      </c>
      <c r="H412" s="8">
        <v>0</v>
      </c>
      <c r="I412" s="8">
        <v>-231</v>
      </c>
      <c r="J412" s="8">
        <v>0</v>
      </c>
      <c r="K412" s="8" t="s">
        <v>13</v>
      </c>
      <c r="L412" s="8" t="s">
        <v>5</v>
      </c>
      <c r="M412" s="8">
        <v>2026</v>
      </c>
      <c r="N412" s="8">
        <v>3</v>
      </c>
      <c r="O412" s="8"/>
    </row>
    <row r="413" spans="2:15" x14ac:dyDescent="0.25">
      <c r="B413" s="8">
        <v>405</v>
      </c>
      <c r="C413" s="8" t="s">
        <v>122</v>
      </c>
      <c r="D413" s="10">
        <v>46083</v>
      </c>
      <c r="E413" s="8" t="s">
        <v>369</v>
      </c>
      <c r="F413" s="8" t="s">
        <v>25</v>
      </c>
      <c r="G413" s="8">
        <v>300</v>
      </c>
      <c r="H413" s="8">
        <v>0</v>
      </c>
      <c r="I413" s="8">
        <v>-300</v>
      </c>
      <c r="J413" s="8">
        <v>0</v>
      </c>
      <c r="K413" s="8" t="s">
        <v>22</v>
      </c>
      <c r="L413" s="8" t="s">
        <v>5</v>
      </c>
      <c r="M413" s="8">
        <v>2026</v>
      </c>
      <c r="N413" s="8">
        <v>3</v>
      </c>
      <c r="O413" s="8"/>
    </row>
    <row r="414" spans="2:15" x14ac:dyDescent="0.25">
      <c r="B414" s="8">
        <v>406</v>
      </c>
      <c r="C414" s="8" t="s">
        <v>123</v>
      </c>
      <c r="D414" s="10">
        <v>46083</v>
      </c>
      <c r="E414" s="8" t="s">
        <v>124</v>
      </c>
      <c r="F414" s="8" t="s">
        <v>36</v>
      </c>
      <c r="G414" s="8">
        <v>10000</v>
      </c>
      <c r="H414" s="8">
        <v>0</v>
      </c>
      <c r="I414" s="8">
        <v>-10000</v>
      </c>
      <c r="J414" s="8">
        <v>0</v>
      </c>
      <c r="K414" s="8" t="s">
        <v>34</v>
      </c>
      <c r="L414" s="8" t="s">
        <v>35</v>
      </c>
      <c r="M414" s="8">
        <v>2026</v>
      </c>
      <c r="N414" s="8">
        <v>3</v>
      </c>
      <c r="O414" s="8"/>
    </row>
    <row r="415" spans="2:15" x14ac:dyDescent="0.25">
      <c r="B415" s="8">
        <v>407</v>
      </c>
      <c r="C415" s="8" t="s">
        <v>122</v>
      </c>
      <c r="D415" s="10">
        <v>46084</v>
      </c>
      <c r="E415" s="8" t="s">
        <v>308</v>
      </c>
      <c r="F415" s="8" t="s">
        <v>21</v>
      </c>
      <c r="G415" s="8">
        <v>48</v>
      </c>
      <c r="H415" s="8">
        <v>0</v>
      </c>
      <c r="I415" s="8">
        <v>-48</v>
      </c>
      <c r="J415" s="8">
        <v>0</v>
      </c>
      <c r="K415" s="8" t="s">
        <v>22</v>
      </c>
      <c r="L415" s="8" t="s">
        <v>5</v>
      </c>
      <c r="M415" s="8">
        <v>2026</v>
      </c>
      <c r="N415" s="8">
        <v>3</v>
      </c>
      <c r="O415" s="8"/>
    </row>
    <row r="416" spans="2:15" x14ac:dyDescent="0.25">
      <c r="B416" s="8">
        <v>408</v>
      </c>
      <c r="C416" s="8" t="s">
        <v>122</v>
      </c>
      <c r="D416" s="10">
        <v>46084</v>
      </c>
      <c r="E416" s="8" t="s">
        <v>144</v>
      </c>
      <c r="F416" s="8" t="s">
        <v>21</v>
      </c>
      <c r="G416" s="8">
        <v>120</v>
      </c>
      <c r="H416" s="8">
        <v>0</v>
      </c>
      <c r="I416" s="8">
        <v>-120</v>
      </c>
      <c r="J416" s="8">
        <v>0</v>
      </c>
      <c r="K416" s="8" t="s">
        <v>22</v>
      </c>
      <c r="L416" s="8" t="s">
        <v>5</v>
      </c>
      <c r="M416" s="8">
        <v>2026</v>
      </c>
      <c r="N416" s="8">
        <v>3</v>
      </c>
      <c r="O416" s="8"/>
    </row>
    <row r="417" spans="2:15" x14ac:dyDescent="0.25">
      <c r="B417" s="8">
        <v>409</v>
      </c>
      <c r="C417" s="8" t="s">
        <v>122</v>
      </c>
      <c r="D417" s="10">
        <v>46084</v>
      </c>
      <c r="E417" s="8" t="s">
        <v>222</v>
      </c>
      <c r="F417" s="8" t="s">
        <v>21</v>
      </c>
      <c r="G417" s="8">
        <v>32</v>
      </c>
      <c r="H417" s="8">
        <v>0</v>
      </c>
      <c r="I417" s="8">
        <v>-32</v>
      </c>
      <c r="J417" s="8">
        <v>0</v>
      </c>
      <c r="K417" s="8" t="s">
        <v>22</v>
      </c>
      <c r="L417" s="8" t="s">
        <v>5</v>
      </c>
      <c r="M417" s="8">
        <v>2026</v>
      </c>
      <c r="N417" s="8">
        <v>3</v>
      </c>
      <c r="O417" s="8"/>
    </row>
    <row r="418" spans="2:15" x14ac:dyDescent="0.25">
      <c r="B418" s="8">
        <v>410</v>
      </c>
      <c r="C418" s="8" t="s">
        <v>122</v>
      </c>
      <c r="D418" s="10">
        <v>46084</v>
      </c>
      <c r="E418" s="8" t="s">
        <v>360</v>
      </c>
      <c r="F418" s="8" t="s">
        <v>21</v>
      </c>
      <c r="G418" s="8">
        <v>232</v>
      </c>
      <c r="H418" s="8">
        <v>0</v>
      </c>
      <c r="I418" s="8">
        <v>-232</v>
      </c>
      <c r="J418" s="8">
        <v>0</v>
      </c>
      <c r="K418" s="8" t="s">
        <v>22</v>
      </c>
      <c r="L418" s="8" t="s">
        <v>5</v>
      </c>
      <c r="M418" s="8">
        <v>2026</v>
      </c>
      <c r="N418" s="8">
        <v>3</v>
      </c>
      <c r="O418" s="8"/>
    </row>
    <row r="419" spans="2:15" x14ac:dyDescent="0.25">
      <c r="B419" s="8">
        <v>411</v>
      </c>
      <c r="C419" s="8" t="s">
        <v>122</v>
      </c>
      <c r="D419" s="10">
        <v>46084</v>
      </c>
      <c r="E419" s="8" t="s">
        <v>372</v>
      </c>
      <c r="F419" s="8" t="s">
        <v>15</v>
      </c>
      <c r="G419" s="8">
        <v>1000</v>
      </c>
      <c r="H419" s="8">
        <v>0</v>
      </c>
      <c r="I419" s="8">
        <v>-1000</v>
      </c>
      <c r="J419" s="8">
        <v>0</v>
      </c>
      <c r="K419" s="8" t="s">
        <v>16</v>
      </c>
      <c r="L419" s="8" t="s">
        <v>5</v>
      </c>
      <c r="M419" s="8">
        <v>2026</v>
      </c>
      <c r="N419" s="8">
        <v>3</v>
      </c>
      <c r="O419" s="8"/>
    </row>
    <row r="420" spans="2:15" x14ac:dyDescent="0.25">
      <c r="B420" s="8">
        <v>412</v>
      </c>
      <c r="C420" s="8" t="s">
        <v>123</v>
      </c>
      <c r="D420" s="10">
        <v>46084</v>
      </c>
      <c r="E420" s="8" t="s">
        <v>25</v>
      </c>
      <c r="F420" s="8" t="s">
        <v>25</v>
      </c>
      <c r="G420" s="8">
        <v>45</v>
      </c>
      <c r="H420" s="8">
        <v>0</v>
      </c>
      <c r="I420" s="8">
        <v>-45</v>
      </c>
      <c r="J420" s="8">
        <v>0</v>
      </c>
      <c r="K420" s="8" t="s">
        <v>22</v>
      </c>
      <c r="L420" s="8" t="s">
        <v>5</v>
      </c>
      <c r="M420" s="8">
        <v>2026</v>
      </c>
      <c r="N420" s="8">
        <v>3</v>
      </c>
      <c r="O420" s="8"/>
    </row>
    <row r="421" spans="2:15" x14ac:dyDescent="0.25">
      <c r="B421" s="8">
        <v>413</v>
      </c>
      <c r="C421" s="8" t="s">
        <v>123</v>
      </c>
      <c r="D421" s="10">
        <v>46084</v>
      </c>
      <c r="E421" s="8" t="s">
        <v>139</v>
      </c>
      <c r="F421" s="8" t="s">
        <v>3</v>
      </c>
      <c r="G421" s="8">
        <v>15500</v>
      </c>
      <c r="H421" s="8">
        <v>0</v>
      </c>
      <c r="I421" s="8">
        <v>-15500</v>
      </c>
      <c r="J421" s="8">
        <v>0</v>
      </c>
      <c r="K421" s="8" t="s">
        <v>4</v>
      </c>
      <c r="L421" s="8" t="s">
        <v>5</v>
      </c>
      <c r="M421" s="8">
        <v>2026</v>
      </c>
      <c r="N421" s="8">
        <v>3</v>
      </c>
      <c r="O421" s="8"/>
    </row>
    <row r="422" spans="2:15" x14ac:dyDescent="0.25">
      <c r="B422" s="8">
        <v>414</v>
      </c>
      <c r="C422" s="8" t="s">
        <v>123</v>
      </c>
      <c r="D422" s="10">
        <v>46084</v>
      </c>
      <c r="E422" s="8" t="s">
        <v>81</v>
      </c>
      <c r="F422" s="8" t="s">
        <v>81</v>
      </c>
      <c r="G422" s="8">
        <v>250</v>
      </c>
      <c r="H422" s="8">
        <v>0</v>
      </c>
      <c r="I422" s="8">
        <v>-250</v>
      </c>
      <c r="J422" s="8">
        <v>0</v>
      </c>
      <c r="K422" s="8" t="s">
        <v>4</v>
      </c>
      <c r="L422" s="8" t="s">
        <v>5</v>
      </c>
      <c r="M422" s="8">
        <v>2026</v>
      </c>
      <c r="N422" s="8">
        <v>3</v>
      </c>
      <c r="O422" s="8"/>
    </row>
    <row r="423" spans="2:15" x14ac:dyDescent="0.25">
      <c r="B423" s="8">
        <v>415</v>
      </c>
      <c r="C423" s="8" t="s">
        <v>123</v>
      </c>
      <c r="D423" s="10">
        <v>46084</v>
      </c>
      <c r="E423" s="8" t="s">
        <v>6</v>
      </c>
      <c r="F423" s="8" t="s">
        <v>6</v>
      </c>
      <c r="G423" s="8">
        <v>645</v>
      </c>
      <c r="H423" s="8">
        <v>0</v>
      </c>
      <c r="I423" s="8">
        <v>-645</v>
      </c>
      <c r="J423" s="8">
        <v>0</v>
      </c>
      <c r="K423" s="8" t="s">
        <v>4</v>
      </c>
      <c r="L423" s="8" t="s">
        <v>5</v>
      </c>
      <c r="M423" s="8">
        <v>2026</v>
      </c>
      <c r="N423" s="8">
        <v>3</v>
      </c>
      <c r="O423" s="8"/>
    </row>
    <row r="424" spans="2:15" x14ac:dyDescent="0.25">
      <c r="B424" s="8">
        <v>416</v>
      </c>
      <c r="C424" s="8" t="s">
        <v>123</v>
      </c>
      <c r="D424" s="10">
        <v>46085</v>
      </c>
      <c r="E424" s="8" t="s">
        <v>141</v>
      </c>
      <c r="F424" s="8" t="s">
        <v>21</v>
      </c>
      <c r="G424" s="8">
        <v>303</v>
      </c>
      <c r="H424" s="8">
        <v>0</v>
      </c>
      <c r="I424" s="8">
        <v>-303</v>
      </c>
      <c r="J424" s="8">
        <v>0</v>
      </c>
      <c r="K424" s="8" t="s">
        <v>22</v>
      </c>
      <c r="L424" s="8" t="s">
        <v>5</v>
      </c>
      <c r="M424" s="8">
        <v>2026</v>
      </c>
      <c r="N424" s="8">
        <v>3</v>
      </c>
      <c r="O424" s="8"/>
    </row>
    <row r="425" spans="2:15" x14ac:dyDescent="0.25">
      <c r="B425" s="8">
        <v>417</v>
      </c>
      <c r="C425" s="8" t="s">
        <v>123</v>
      </c>
      <c r="D425" s="10">
        <v>46086</v>
      </c>
      <c r="E425" s="8" t="s">
        <v>374</v>
      </c>
      <c r="F425" s="8" t="s">
        <v>45</v>
      </c>
      <c r="G425" s="8">
        <v>0</v>
      </c>
      <c r="H425" s="8">
        <v>1050</v>
      </c>
      <c r="I425" s="8">
        <v>1050</v>
      </c>
      <c r="J425" s="8">
        <v>0</v>
      </c>
      <c r="K425" s="8" t="s">
        <v>46</v>
      </c>
      <c r="L425" s="8" t="s">
        <v>44</v>
      </c>
      <c r="M425" s="8">
        <v>2026</v>
      </c>
      <c r="N425" s="8">
        <v>3</v>
      </c>
      <c r="O425" s="8"/>
    </row>
    <row r="426" spans="2:15" x14ac:dyDescent="0.25">
      <c r="B426" s="8">
        <v>418</v>
      </c>
      <c r="C426" s="8" t="s">
        <v>122</v>
      </c>
      <c r="D426" s="10">
        <v>46087</v>
      </c>
      <c r="E426" s="8" t="s">
        <v>136</v>
      </c>
      <c r="F426" s="8" t="s">
        <v>21</v>
      </c>
      <c r="G426" s="8">
        <v>1000.2</v>
      </c>
      <c r="H426" s="8">
        <v>0</v>
      </c>
      <c r="I426" s="8">
        <v>-1000.2</v>
      </c>
      <c r="J426" s="8">
        <v>0</v>
      </c>
      <c r="K426" s="8" t="s">
        <v>22</v>
      </c>
      <c r="L426" s="8" t="s">
        <v>5</v>
      </c>
      <c r="M426" s="8">
        <v>2026</v>
      </c>
      <c r="N426" s="8">
        <v>3</v>
      </c>
      <c r="O426" s="8"/>
    </row>
    <row r="427" spans="2:15" x14ac:dyDescent="0.25">
      <c r="B427" s="8">
        <v>419</v>
      </c>
      <c r="C427" s="8" t="s">
        <v>122</v>
      </c>
      <c r="D427" s="10">
        <v>46087</v>
      </c>
      <c r="E427" s="8" t="s">
        <v>361</v>
      </c>
      <c r="F427" s="8" t="s">
        <v>7</v>
      </c>
      <c r="G427" s="8">
        <v>1008</v>
      </c>
      <c r="H427" s="8">
        <v>0</v>
      </c>
      <c r="I427" s="8">
        <v>-1008</v>
      </c>
      <c r="J427" s="8">
        <v>0</v>
      </c>
      <c r="K427" s="8" t="s">
        <v>4</v>
      </c>
      <c r="L427" s="8" t="s">
        <v>5</v>
      </c>
      <c r="M427" s="8">
        <v>2026</v>
      </c>
      <c r="N427" s="8">
        <v>3</v>
      </c>
      <c r="O427" s="8"/>
    </row>
    <row r="428" spans="2:15" x14ac:dyDescent="0.25">
      <c r="B428" s="8">
        <v>420</v>
      </c>
      <c r="C428" s="8" t="s">
        <v>123</v>
      </c>
      <c r="D428" s="10">
        <v>46087</v>
      </c>
      <c r="E428" s="8" t="s">
        <v>207</v>
      </c>
      <c r="F428" s="8" t="s">
        <v>25</v>
      </c>
      <c r="G428" s="8">
        <v>808</v>
      </c>
      <c r="H428" s="8">
        <v>0</v>
      </c>
      <c r="I428" s="8">
        <v>-808</v>
      </c>
      <c r="J428" s="8">
        <v>0</v>
      </c>
      <c r="K428" s="8" t="s">
        <v>22</v>
      </c>
      <c r="L428" s="8" t="s">
        <v>5</v>
      </c>
      <c r="M428" s="8">
        <v>2026</v>
      </c>
      <c r="N428" s="8">
        <v>3</v>
      </c>
      <c r="O428" s="8"/>
    </row>
    <row r="429" spans="2:15" x14ac:dyDescent="0.25">
      <c r="B429" s="8">
        <v>421</v>
      </c>
      <c r="C429" s="8" t="s">
        <v>122</v>
      </c>
      <c r="D429" s="10">
        <v>46088</v>
      </c>
      <c r="E429" s="8" t="s">
        <v>373</v>
      </c>
      <c r="F429" s="8" t="s">
        <v>84</v>
      </c>
      <c r="G429" s="8">
        <v>4621</v>
      </c>
      <c r="H429" s="8">
        <v>0</v>
      </c>
      <c r="I429" s="8">
        <v>-4621</v>
      </c>
      <c r="J429" s="8">
        <v>0</v>
      </c>
      <c r="K429" s="8" t="s">
        <v>38</v>
      </c>
      <c r="L429" s="8" t="s">
        <v>5</v>
      </c>
      <c r="M429" s="8">
        <v>2026</v>
      </c>
      <c r="N429" s="8">
        <v>3</v>
      </c>
      <c r="O429" s="8"/>
    </row>
    <row r="430" spans="2:15" x14ac:dyDescent="0.25">
      <c r="B430" s="8">
        <v>422</v>
      </c>
      <c r="C430" s="8" t="s">
        <v>122</v>
      </c>
      <c r="D430" s="10">
        <v>46089</v>
      </c>
      <c r="E430" s="8" t="s">
        <v>171</v>
      </c>
      <c r="F430" s="8" t="s">
        <v>21</v>
      </c>
      <c r="G430" s="8">
        <v>800</v>
      </c>
      <c r="H430" s="8">
        <v>0</v>
      </c>
      <c r="I430" s="8">
        <v>-800</v>
      </c>
      <c r="J430" s="8">
        <v>0</v>
      </c>
      <c r="K430" s="8" t="s">
        <v>22</v>
      </c>
      <c r="L430" s="8" t="s">
        <v>5</v>
      </c>
      <c r="M430" s="8">
        <v>2026</v>
      </c>
      <c r="N430" s="8">
        <v>3</v>
      </c>
      <c r="O430" s="8"/>
    </row>
    <row r="431" spans="2:15" x14ac:dyDescent="0.25">
      <c r="B431" s="8">
        <v>423</v>
      </c>
      <c r="C431" s="8" t="s">
        <v>122</v>
      </c>
      <c r="D431" s="10">
        <v>46089</v>
      </c>
      <c r="E431" s="8" t="s">
        <v>362</v>
      </c>
      <c r="F431" s="8" t="s">
        <v>21</v>
      </c>
      <c r="G431" s="8">
        <v>65</v>
      </c>
      <c r="H431" s="8">
        <v>0</v>
      </c>
      <c r="I431" s="8">
        <v>-65</v>
      </c>
      <c r="J431" s="8">
        <v>0</v>
      </c>
      <c r="K431" s="8" t="s">
        <v>22</v>
      </c>
      <c r="L431" s="8" t="s">
        <v>5</v>
      </c>
      <c r="M431" s="8">
        <v>2026</v>
      </c>
      <c r="N431" s="8">
        <v>3</v>
      </c>
      <c r="O431" s="8"/>
    </row>
    <row r="432" spans="2:15" x14ac:dyDescent="0.25">
      <c r="B432" s="8">
        <v>424</v>
      </c>
      <c r="C432" s="8" t="s">
        <v>122</v>
      </c>
      <c r="D432" s="10">
        <v>46089</v>
      </c>
      <c r="E432" s="8" t="s">
        <v>144</v>
      </c>
      <c r="F432" s="8" t="s">
        <v>21</v>
      </c>
      <c r="G432" s="8">
        <v>160</v>
      </c>
      <c r="H432" s="8">
        <v>0</v>
      </c>
      <c r="I432" s="8">
        <v>-160</v>
      </c>
      <c r="J432" s="8">
        <v>0</v>
      </c>
      <c r="K432" s="8" t="s">
        <v>22</v>
      </c>
      <c r="L432" s="8" t="s">
        <v>5</v>
      </c>
      <c r="M432" s="8">
        <v>2026</v>
      </c>
      <c r="N432" s="8">
        <v>3</v>
      </c>
      <c r="O432" s="8"/>
    </row>
    <row r="433" spans="2:15" x14ac:dyDescent="0.25">
      <c r="B433" s="8">
        <v>425</v>
      </c>
      <c r="C433" s="8" t="s">
        <v>122</v>
      </c>
      <c r="D433" s="10">
        <v>46089</v>
      </c>
      <c r="E433" s="8" t="s">
        <v>144</v>
      </c>
      <c r="F433" s="8" t="s">
        <v>21</v>
      </c>
      <c r="G433" s="8">
        <v>160</v>
      </c>
      <c r="H433" s="8">
        <v>0</v>
      </c>
      <c r="I433" s="8">
        <v>-160</v>
      </c>
      <c r="J433" s="8">
        <v>0</v>
      </c>
      <c r="K433" s="8" t="s">
        <v>22</v>
      </c>
      <c r="L433" s="8" t="s">
        <v>5</v>
      </c>
      <c r="M433" s="8">
        <v>2026</v>
      </c>
      <c r="N433" s="8">
        <v>3</v>
      </c>
      <c r="O433" s="8"/>
    </row>
    <row r="434" spans="2:15" x14ac:dyDescent="0.25">
      <c r="B434" s="8">
        <v>426</v>
      </c>
      <c r="C434" s="8" t="s">
        <v>122</v>
      </c>
      <c r="D434" s="10">
        <v>46090</v>
      </c>
      <c r="E434" s="8" t="s">
        <v>156</v>
      </c>
      <c r="F434" s="8" t="s">
        <v>10</v>
      </c>
      <c r="G434" s="8">
        <v>380</v>
      </c>
      <c r="H434" s="8">
        <v>0</v>
      </c>
      <c r="I434" s="8">
        <v>-380</v>
      </c>
      <c r="J434" s="8">
        <v>0</v>
      </c>
      <c r="K434" s="8" t="s">
        <v>9</v>
      </c>
      <c r="L434" s="8" t="s">
        <v>5</v>
      </c>
      <c r="M434" s="8">
        <v>2026</v>
      </c>
      <c r="N434" s="8">
        <v>3</v>
      </c>
      <c r="O434" s="8"/>
    </row>
    <row r="435" spans="2:15" x14ac:dyDescent="0.25">
      <c r="B435" s="8">
        <v>427</v>
      </c>
      <c r="C435" s="8" t="s">
        <v>122</v>
      </c>
      <c r="D435" s="10">
        <v>46090</v>
      </c>
      <c r="E435" s="8" t="s">
        <v>128</v>
      </c>
      <c r="F435" s="8" t="s">
        <v>25</v>
      </c>
      <c r="G435" s="8">
        <v>95</v>
      </c>
      <c r="H435" s="8">
        <v>0</v>
      </c>
      <c r="I435" s="8">
        <v>-95</v>
      </c>
      <c r="J435" s="8">
        <v>0</v>
      </c>
      <c r="K435" s="8" t="s">
        <v>22</v>
      </c>
      <c r="L435" s="8" t="s">
        <v>5</v>
      </c>
      <c r="M435" s="8">
        <v>2026</v>
      </c>
      <c r="N435" s="8">
        <v>3</v>
      </c>
      <c r="O435" s="8"/>
    </row>
    <row r="436" spans="2:15" x14ac:dyDescent="0.25">
      <c r="B436" s="8">
        <v>428</v>
      </c>
      <c r="C436" s="8" t="s">
        <v>122</v>
      </c>
      <c r="D436" s="10">
        <v>46090</v>
      </c>
      <c r="E436" s="8" t="s">
        <v>370</v>
      </c>
      <c r="F436" s="8" t="s">
        <v>20</v>
      </c>
      <c r="G436" s="8">
        <v>100</v>
      </c>
      <c r="H436" s="8">
        <v>0</v>
      </c>
      <c r="I436" s="8">
        <v>-100</v>
      </c>
      <c r="J436" s="8">
        <v>0</v>
      </c>
      <c r="K436" s="8" t="s">
        <v>19</v>
      </c>
      <c r="L436" s="8" t="s">
        <v>5</v>
      </c>
      <c r="M436" s="8">
        <v>2026</v>
      </c>
      <c r="N436" s="8">
        <v>3</v>
      </c>
      <c r="O436" s="8"/>
    </row>
    <row r="437" spans="2:15" x14ac:dyDescent="0.25">
      <c r="B437" s="8">
        <v>429</v>
      </c>
      <c r="C437" s="8" t="s">
        <v>122</v>
      </c>
      <c r="D437" s="10">
        <v>46091</v>
      </c>
      <c r="E437" s="8" t="s">
        <v>363</v>
      </c>
      <c r="F437" s="8" t="s">
        <v>7</v>
      </c>
      <c r="G437" s="8">
        <v>119</v>
      </c>
      <c r="H437" s="8">
        <v>0</v>
      </c>
      <c r="I437" s="8">
        <v>-119</v>
      </c>
      <c r="J437" s="8">
        <v>0</v>
      </c>
      <c r="K437" s="8" t="s">
        <v>4</v>
      </c>
      <c r="L437" s="8" t="s">
        <v>5</v>
      </c>
      <c r="M437" s="8">
        <v>2026</v>
      </c>
      <c r="N437" s="8">
        <v>3</v>
      </c>
      <c r="O437" s="8"/>
    </row>
    <row r="438" spans="2:15" x14ac:dyDescent="0.25">
      <c r="B438" s="8">
        <v>430</v>
      </c>
      <c r="C438" s="8" t="s">
        <v>122</v>
      </c>
      <c r="D438" s="10">
        <v>46091</v>
      </c>
      <c r="E438" s="8" t="s">
        <v>152</v>
      </c>
      <c r="F438" s="8" t="s">
        <v>14</v>
      </c>
      <c r="G438" s="8">
        <v>60</v>
      </c>
      <c r="H438" s="8">
        <v>0</v>
      </c>
      <c r="I438" s="8">
        <v>-60</v>
      </c>
      <c r="J438" s="8">
        <v>0</v>
      </c>
      <c r="K438" s="8" t="s">
        <v>13</v>
      </c>
      <c r="L438" s="8" t="s">
        <v>5</v>
      </c>
      <c r="M438" s="8">
        <v>2026</v>
      </c>
      <c r="N438" s="8">
        <v>3</v>
      </c>
      <c r="O438" s="8"/>
    </row>
    <row r="439" spans="2:15" x14ac:dyDescent="0.25">
      <c r="B439" s="8">
        <v>431</v>
      </c>
      <c r="C439" s="8" t="s">
        <v>122</v>
      </c>
      <c r="D439" s="10">
        <v>46091</v>
      </c>
      <c r="E439" s="8" t="s">
        <v>364</v>
      </c>
      <c r="F439" s="8" t="s">
        <v>25</v>
      </c>
      <c r="G439" s="8">
        <v>380</v>
      </c>
      <c r="H439" s="8">
        <v>0</v>
      </c>
      <c r="I439" s="8">
        <v>-380</v>
      </c>
      <c r="J439" s="8">
        <v>0</v>
      </c>
      <c r="K439" s="8" t="s">
        <v>22</v>
      </c>
      <c r="L439" s="8" t="s">
        <v>5</v>
      </c>
      <c r="M439" s="8">
        <v>2026</v>
      </c>
      <c r="N439" s="8">
        <v>3</v>
      </c>
      <c r="O439" s="8"/>
    </row>
    <row r="440" spans="2:15" x14ac:dyDescent="0.25">
      <c r="B440" s="8">
        <v>432</v>
      </c>
      <c r="C440" s="8" t="s">
        <v>122</v>
      </c>
      <c r="D440" s="10">
        <v>46091</v>
      </c>
      <c r="E440" s="8" t="s">
        <v>364</v>
      </c>
      <c r="F440" s="8" t="s">
        <v>25</v>
      </c>
      <c r="G440" s="8">
        <v>70</v>
      </c>
      <c r="H440" s="8">
        <v>0</v>
      </c>
      <c r="I440" s="8">
        <v>-70</v>
      </c>
      <c r="J440" s="8">
        <v>0</v>
      </c>
      <c r="K440" s="8" t="s">
        <v>22</v>
      </c>
      <c r="L440" s="8" t="s">
        <v>5</v>
      </c>
      <c r="M440" s="8">
        <v>2026</v>
      </c>
      <c r="N440" s="8">
        <v>3</v>
      </c>
      <c r="O440" s="8"/>
    </row>
    <row r="441" spans="2:15" x14ac:dyDescent="0.25">
      <c r="B441" s="8">
        <v>433</v>
      </c>
      <c r="C441" s="8" t="s">
        <v>122</v>
      </c>
      <c r="D441" s="10">
        <v>46091</v>
      </c>
      <c r="E441" s="8" t="s">
        <v>364</v>
      </c>
      <c r="F441" s="8" t="s">
        <v>25</v>
      </c>
      <c r="G441" s="8">
        <v>80</v>
      </c>
      <c r="H441" s="8">
        <v>0</v>
      </c>
      <c r="I441" s="8">
        <v>-80</v>
      </c>
      <c r="J441" s="8">
        <v>0</v>
      </c>
      <c r="K441" s="8" t="s">
        <v>22</v>
      </c>
      <c r="L441" s="8" t="s">
        <v>5</v>
      </c>
      <c r="M441" s="8">
        <v>2026</v>
      </c>
      <c r="N441" s="8">
        <v>3</v>
      </c>
      <c r="O441" s="8"/>
    </row>
    <row r="442" spans="2:15" x14ac:dyDescent="0.25">
      <c r="B442" s="8">
        <v>434</v>
      </c>
      <c r="C442" s="8" t="s">
        <v>122</v>
      </c>
      <c r="D442" s="10">
        <v>46091</v>
      </c>
      <c r="E442" s="8" t="s">
        <v>358</v>
      </c>
      <c r="F442" s="8" t="s">
        <v>25</v>
      </c>
      <c r="G442" s="8">
        <v>30</v>
      </c>
      <c r="H442" s="8">
        <v>0</v>
      </c>
      <c r="I442" s="8">
        <v>-30</v>
      </c>
      <c r="J442" s="8">
        <v>0</v>
      </c>
      <c r="K442" s="8" t="s">
        <v>22</v>
      </c>
      <c r="L442" s="8" t="s">
        <v>5</v>
      </c>
      <c r="M442" s="8">
        <v>2026</v>
      </c>
      <c r="N442" s="8">
        <v>3</v>
      </c>
      <c r="O442" s="8"/>
    </row>
    <row r="443" spans="2:15" x14ac:dyDescent="0.25">
      <c r="B443" s="8">
        <v>435</v>
      </c>
      <c r="C443" s="8" t="s">
        <v>122</v>
      </c>
      <c r="D443" s="10">
        <v>46092</v>
      </c>
      <c r="E443" s="8" t="s">
        <v>156</v>
      </c>
      <c r="F443" s="8" t="s">
        <v>10</v>
      </c>
      <c r="G443" s="8">
        <v>391</v>
      </c>
      <c r="H443" s="8">
        <v>0</v>
      </c>
      <c r="I443" s="8">
        <v>-391</v>
      </c>
      <c r="J443" s="8">
        <v>0</v>
      </c>
      <c r="K443" s="8" t="s">
        <v>9</v>
      </c>
      <c r="L443" s="8" t="s">
        <v>5</v>
      </c>
      <c r="M443" s="8">
        <v>2026</v>
      </c>
      <c r="N443" s="8">
        <v>3</v>
      </c>
      <c r="O443" s="8"/>
    </row>
    <row r="444" spans="2:15" x14ac:dyDescent="0.25">
      <c r="B444" s="8">
        <v>436</v>
      </c>
      <c r="C444" s="8" t="s">
        <v>122</v>
      </c>
      <c r="D444" s="10">
        <v>46092</v>
      </c>
      <c r="E444" s="8" t="s">
        <v>365</v>
      </c>
      <c r="F444" s="8" t="s">
        <v>25</v>
      </c>
      <c r="G444" s="8">
        <v>135</v>
      </c>
      <c r="H444" s="8">
        <v>0</v>
      </c>
      <c r="I444" s="8">
        <v>-135</v>
      </c>
      <c r="J444" s="8">
        <v>0</v>
      </c>
      <c r="K444" s="8" t="s">
        <v>22</v>
      </c>
      <c r="L444" s="8" t="s">
        <v>5</v>
      </c>
      <c r="M444" s="8">
        <v>2026</v>
      </c>
      <c r="N444" s="8">
        <v>3</v>
      </c>
      <c r="O444" s="8"/>
    </row>
    <row r="445" spans="2:15" x14ac:dyDescent="0.25">
      <c r="B445" s="8">
        <v>437</v>
      </c>
      <c r="C445" s="8" t="s">
        <v>122</v>
      </c>
      <c r="D445" s="10">
        <v>46092</v>
      </c>
      <c r="E445" s="8" t="s">
        <v>367</v>
      </c>
      <c r="F445" s="8" t="s">
        <v>10</v>
      </c>
      <c r="G445" s="8">
        <v>150</v>
      </c>
      <c r="H445" s="8">
        <v>0</v>
      </c>
      <c r="I445" s="8">
        <v>-150</v>
      </c>
      <c r="J445" s="8">
        <v>0</v>
      </c>
      <c r="K445" s="8" t="s">
        <v>9</v>
      </c>
      <c r="L445" s="8" t="s">
        <v>5</v>
      </c>
      <c r="M445" s="8">
        <v>2026</v>
      </c>
      <c r="N445" s="8">
        <v>3</v>
      </c>
      <c r="O445" s="8"/>
    </row>
    <row r="446" spans="2:15" x14ac:dyDescent="0.25">
      <c r="B446" s="8">
        <v>438</v>
      </c>
      <c r="C446" s="8" t="s">
        <v>122</v>
      </c>
      <c r="D446" s="10">
        <v>46093</v>
      </c>
      <c r="E446" s="8" t="s">
        <v>371</v>
      </c>
      <c r="F446" s="8" t="s">
        <v>218</v>
      </c>
      <c r="G446" s="8">
        <v>352.82</v>
      </c>
      <c r="H446" s="8">
        <v>0</v>
      </c>
      <c r="I446" s="8">
        <v>-352.82</v>
      </c>
      <c r="J446" s="8">
        <v>0</v>
      </c>
      <c r="K446" s="8" t="s">
        <v>19</v>
      </c>
      <c r="L446" s="8" t="s">
        <v>5</v>
      </c>
      <c r="M446" s="8">
        <v>2026</v>
      </c>
      <c r="N446" s="8">
        <v>3</v>
      </c>
      <c r="O446" s="8"/>
    </row>
    <row r="447" spans="2:15" x14ac:dyDescent="0.25">
      <c r="B447" s="8">
        <v>439</v>
      </c>
      <c r="C447" s="8" t="s">
        <v>122</v>
      </c>
      <c r="D447" s="10">
        <v>46093</v>
      </c>
      <c r="E447" s="8" t="s">
        <v>243</v>
      </c>
      <c r="F447" s="8" t="s">
        <v>21</v>
      </c>
      <c r="G447" s="8">
        <v>35</v>
      </c>
      <c r="H447" s="8">
        <v>0</v>
      </c>
      <c r="I447" s="8">
        <v>-35</v>
      </c>
      <c r="J447" s="8">
        <v>0</v>
      </c>
      <c r="K447" s="8" t="s">
        <v>22</v>
      </c>
      <c r="L447" s="8" t="s">
        <v>5</v>
      </c>
      <c r="M447" s="8">
        <v>2026</v>
      </c>
      <c r="N447" s="8">
        <v>3</v>
      </c>
      <c r="O447" s="8"/>
    </row>
    <row r="448" spans="2:15" x14ac:dyDescent="0.25">
      <c r="B448" s="8">
        <v>440</v>
      </c>
      <c r="C448" s="8" t="s">
        <v>122</v>
      </c>
      <c r="D448" s="10">
        <v>46094</v>
      </c>
      <c r="E448" s="8" t="s">
        <v>136</v>
      </c>
      <c r="F448" s="8" t="s">
        <v>15</v>
      </c>
      <c r="G448" s="8">
        <v>742</v>
      </c>
      <c r="H448" s="8">
        <v>0</v>
      </c>
      <c r="I448" s="8">
        <v>-742</v>
      </c>
      <c r="J448" s="8">
        <v>0</v>
      </c>
      <c r="K448" s="8" t="s">
        <v>16</v>
      </c>
      <c r="L448" s="8" t="s">
        <v>5</v>
      </c>
      <c r="M448" s="8">
        <v>2026</v>
      </c>
      <c r="N448" s="8">
        <v>3</v>
      </c>
      <c r="O448" s="8"/>
    </row>
    <row r="449" spans="2:15" x14ac:dyDescent="0.25">
      <c r="B449" s="8">
        <v>441</v>
      </c>
      <c r="C449" s="8" t="s">
        <v>122</v>
      </c>
      <c r="D449" s="10">
        <v>46094</v>
      </c>
      <c r="E449" s="8" t="s">
        <v>375</v>
      </c>
      <c r="F449" s="8" t="s">
        <v>15</v>
      </c>
      <c r="G449" s="8">
        <v>643</v>
      </c>
      <c r="H449" s="8">
        <v>0</v>
      </c>
      <c r="I449" s="8">
        <v>-643</v>
      </c>
      <c r="J449" s="8">
        <v>0</v>
      </c>
      <c r="K449" s="8" t="s">
        <v>16</v>
      </c>
      <c r="L449" s="8" t="s">
        <v>5</v>
      </c>
      <c r="M449" s="8">
        <v>2026</v>
      </c>
      <c r="N449" s="8">
        <v>3</v>
      </c>
      <c r="O449" s="8"/>
    </row>
    <row r="450" spans="2:15" x14ac:dyDescent="0.25">
      <c r="B450" s="8">
        <v>442</v>
      </c>
      <c r="C450" s="8" t="s">
        <v>122</v>
      </c>
      <c r="D450" s="10">
        <v>46094</v>
      </c>
      <c r="E450" s="8" t="s">
        <v>376</v>
      </c>
      <c r="F450" s="8" t="s">
        <v>10</v>
      </c>
      <c r="G450" s="8">
        <v>235</v>
      </c>
      <c r="H450" s="8">
        <v>0</v>
      </c>
      <c r="I450" s="8">
        <v>-235</v>
      </c>
      <c r="J450" s="8">
        <v>0</v>
      </c>
      <c r="K450" s="8" t="s">
        <v>9</v>
      </c>
      <c r="L450" s="8" t="s">
        <v>5</v>
      </c>
      <c r="M450" s="8">
        <v>2026</v>
      </c>
      <c r="N450" s="8">
        <v>3</v>
      </c>
      <c r="O450" s="8"/>
    </row>
    <row r="451" spans="2:15" x14ac:dyDescent="0.25">
      <c r="B451" s="8">
        <v>443</v>
      </c>
      <c r="C451" s="8" t="s">
        <v>122</v>
      </c>
      <c r="D451" s="10">
        <v>46094</v>
      </c>
      <c r="E451" s="8" t="s">
        <v>144</v>
      </c>
      <c r="F451" s="8" t="s">
        <v>21</v>
      </c>
      <c r="G451" s="8">
        <v>120</v>
      </c>
      <c r="H451" s="8">
        <v>0</v>
      </c>
      <c r="I451" s="8">
        <v>-120</v>
      </c>
      <c r="J451" s="8">
        <v>0</v>
      </c>
      <c r="K451" s="8" t="s">
        <v>22</v>
      </c>
      <c r="L451" s="8" t="s">
        <v>5</v>
      </c>
      <c r="M451" s="8">
        <v>2026</v>
      </c>
      <c r="N451" s="8">
        <v>3</v>
      </c>
      <c r="O451" s="8"/>
    </row>
    <row r="452" spans="2:15" x14ac:dyDescent="0.25">
      <c r="B452" s="8">
        <v>444</v>
      </c>
      <c r="C452" s="8" t="s">
        <v>122</v>
      </c>
      <c r="D452" s="10">
        <v>46095</v>
      </c>
      <c r="E452" s="8" t="s">
        <v>320</v>
      </c>
      <c r="F452" s="8" t="s">
        <v>25</v>
      </c>
      <c r="G452" s="8">
        <v>60</v>
      </c>
      <c r="H452" s="8">
        <v>0</v>
      </c>
      <c r="I452" s="8">
        <v>-60</v>
      </c>
      <c r="J452" s="8">
        <v>0</v>
      </c>
      <c r="K452" s="8" t="s">
        <v>22</v>
      </c>
      <c r="L452" s="8" t="s">
        <v>5</v>
      </c>
      <c r="M452" s="8">
        <v>2026</v>
      </c>
      <c r="N452" s="8">
        <v>3</v>
      </c>
      <c r="O452" s="8"/>
    </row>
    <row r="453" spans="2:15" x14ac:dyDescent="0.25">
      <c r="B453" s="8">
        <v>445</v>
      </c>
      <c r="C453" s="8" t="s">
        <v>122</v>
      </c>
      <c r="D453" s="10">
        <v>46095</v>
      </c>
      <c r="E453" s="8" t="s">
        <v>379</v>
      </c>
      <c r="F453" s="8" t="s">
        <v>21</v>
      </c>
      <c r="G453" s="8">
        <v>100</v>
      </c>
      <c r="H453" s="8">
        <v>0</v>
      </c>
      <c r="I453" s="8">
        <v>-100</v>
      </c>
      <c r="J453" s="8">
        <v>0</v>
      </c>
      <c r="K453" s="8" t="s">
        <v>22</v>
      </c>
      <c r="L453" s="8" t="s">
        <v>5</v>
      </c>
      <c r="M453" s="8">
        <v>2026</v>
      </c>
      <c r="N453" s="8">
        <v>3</v>
      </c>
      <c r="O453" s="8"/>
    </row>
    <row r="454" spans="2:15" x14ac:dyDescent="0.25">
      <c r="B454" s="8">
        <v>446</v>
      </c>
      <c r="C454" s="8" t="s">
        <v>123</v>
      </c>
      <c r="D454" s="10">
        <v>46095</v>
      </c>
      <c r="E454" s="8" t="s">
        <v>293</v>
      </c>
      <c r="F454" s="8" t="s">
        <v>25</v>
      </c>
      <c r="G454" s="8">
        <v>85</v>
      </c>
      <c r="H454" s="8">
        <v>0</v>
      </c>
      <c r="I454" s="8">
        <v>-85</v>
      </c>
      <c r="J454" s="8">
        <v>0</v>
      </c>
      <c r="K454" s="8" t="s">
        <v>22</v>
      </c>
      <c r="L454" s="8" t="s">
        <v>5</v>
      </c>
      <c r="M454" s="8">
        <v>2026</v>
      </c>
      <c r="N454" s="8">
        <v>3</v>
      </c>
      <c r="O454" s="8"/>
    </row>
    <row r="455" spans="2:15" x14ac:dyDescent="0.25">
      <c r="B455" s="8">
        <v>447</v>
      </c>
      <c r="C455" s="8" t="s">
        <v>123</v>
      </c>
      <c r="D455" s="10">
        <v>46095</v>
      </c>
      <c r="E455" s="8" t="s">
        <v>386</v>
      </c>
      <c r="F455" s="8" t="s">
        <v>10</v>
      </c>
      <c r="G455" s="8">
        <v>50</v>
      </c>
      <c r="H455" s="8">
        <v>0</v>
      </c>
      <c r="I455" s="8">
        <v>-50</v>
      </c>
      <c r="J455" s="8">
        <v>0</v>
      </c>
      <c r="K455" s="8" t="s">
        <v>9</v>
      </c>
      <c r="L455" s="8" t="s">
        <v>5</v>
      </c>
      <c r="M455" s="8">
        <v>2026</v>
      </c>
      <c r="N455" s="8">
        <v>3</v>
      </c>
      <c r="O455" s="8"/>
    </row>
    <row r="456" spans="2:15" x14ac:dyDescent="0.25">
      <c r="B456" s="8">
        <v>448</v>
      </c>
      <c r="C456" s="8" t="s">
        <v>122</v>
      </c>
      <c r="D456" s="10">
        <v>46096</v>
      </c>
      <c r="E456" s="8" t="s">
        <v>377</v>
      </c>
      <c r="F456" s="8" t="s">
        <v>29</v>
      </c>
      <c r="G456" s="8">
        <v>900</v>
      </c>
      <c r="H456" s="8">
        <v>0</v>
      </c>
      <c r="I456" s="8">
        <v>-900</v>
      </c>
      <c r="J456" s="8">
        <v>0</v>
      </c>
      <c r="K456" s="8" t="s">
        <v>28</v>
      </c>
      <c r="L456" s="8" t="s">
        <v>5</v>
      </c>
      <c r="M456" s="8">
        <v>2026</v>
      </c>
      <c r="N456" s="8">
        <v>3</v>
      </c>
      <c r="O456" s="8"/>
    </row>
    <row r="457" spans="2:15" x14ac:dyDescent="0.25">
      <c r="B457" s="8">
        <v>449</v>
      </c>
      <c r="C457" s="8" t="s">
        <v>122</v>
      </c>
      <c r="D457" s="10">
        <v>46096</v>
      </c>
      <c r="E457" s="8" t="s">
        <v>380</v>
      </c>
      <c r="F457" s="8" t="s">
        <v>21</v>
      </c>
      <c r="G457" s="8">
        <v>50</v>
      </c>
      <c r="H457" s="8">
        <v>0</v>
      </c>
      <c r="I457" s="8">
        <v>-50</v>
      </c>
      <c r="J457" s="8">
        <v>0</v>
      </c>
      <c r="K457" s="8" t="s">
        <v>22</v>
      </c>
      <c r="L457" s="8" t="s">
        <v>5</v>
      </c>
      <c r="M457" s="8">
        <v>2026</v>
      </c>
      <c r="N457" s="8">
        <v>3</v>
      </c>
      <c r="O457" s="8"/>
    </row>
    <row r="458" spans="2:15" x14ac:dyDescent="0.25">
      <c r="B458" s="8">
        <v>450</v>
      </c>
      <c r="C458" s="8" t="s">
        <v>122</v>
      </c>
      <c r="D458" s="10">
        <v>46096</v>
      </c>
      <c r="E458" s="8" t="s">
        <v>348</v>
      </c>
      <c r="F458" s="8" t="s">
        <v>10</v>
      </c>
      <c r="G458" s="8">
        <v>50</v>
      </c>
      <c r="H458" s="8">
        <v>0</v>
      </c>
      <c r="I458" s="8">
        <v>-50</v>
      </c>
      <c r="J458" s="8">
        <v>0</v>
      </c>
      <c r="K458" s="8" t="s">
        <v>9</v>
      </c>
      <c r="L458" s="8" t="s">
        <v>5</v>
      </c>
      <c r="M458" s="8">
        <v>2026</v>
      </c>
      <c r="N458" s="8">
        <v>3</v>
      </c>
      <c r="O458" s="8"/>
    </row>
    <row r="459" spans="2:15" x14ac:dyDescent="0.25">
      <c r="B459" s="8">
        <v>451</v>
      </c>
      <c r="C459" s="8" t="s">
        <v>122</v>
      </c>
      <c r="D459" s="10">
        <v>46096</v>
      </c>
      <c r="E459" s="8" t="s">
        <v>423</v>
      </c>
      <c r="F459" s="8" t="s">
        <v>10</v>
      </c>
      <c r="G459" s="8">
        <v>1063.5999999999999</v>
      </c>
      <c r="H459" s="8">
        <v>0</v>
      </c>
      <c r="I459" s="8">
        <v>-1063.5999999999999</v>
      </c>
      <c r="J459" s="8">
        <v>0</v>
      </c>
      <c r="K459" s="8" t="s">
        <v>9</v>
      </c>
      <c r="L459" s="8" t="s">
        <v>5</v>
      </c>
      <c r="M459" s="8">
        <v>2026</v>
      </c>
      <c r="N459" s="8">
        <v>3</v>
      </c>
      <c r="O459" s="8"/>
    </row>
    <row r="460" spans="2:15" x14ac:dyDescent="0.25">
      <c r="B460" s="8">
        <v>452</v>
      </c>
      <c r="C460" s="8" t="s">
        <v>122</v>
      </c>
      <c r="D460" s="10">
        <v>46096</v>
      </c>
      <c r="E460" s="8" t="s">
        <v>384</v>
      </c>
      <c r="F460" s="8" t="s">
        <v>15</v>
      </c>
      <c r="G460" s="8">
        <v>200</v>
      </c>
      <c r="H460" s="8">
        <v>0</v>
      </c>
      <c r="I460" s="8">
        <v>-200</v>
      </c>
      <c r="J460" s="8">
        <v>0</v>
      </c>
      <c r="K460" s="8" t="s">
        <v>16</v>
      </c>
      <c r="L460" s="8" t="s">
        <v>5</v>
      </c>
      <c r="M460" s="8">
        <v>2026</v>
      </c>
      <c r="N460" s="8">
        <v>3</v>
      </c>
      <c r="O460" s="8"/>
    </row>
    <row r="461" spans="2:15" x14ac:dyDescent="0.25">
      <c r="B461" s="8">
        <v>453</v>
      </c>
      <c r="C461" s="8" t="s">
        <v>122</v>
      </c>
      <c r="D461" s="10">
        <v>46096</v>
      </c>
      <c r="E461" s="8" t="s">
        <v>385</v>
      </c>
      <c r="F461" s="8" t="s">
        <v>10</v>
      </c>
      <c r="G461" s="8">
        <v>40</v>
      </c>
      <c r="H461" s="8">
        <v>0</v>
      </c>
      <c r="I461" s="8">
        <v>-40</v>
      </c>
      <c r="J461" s="8">
        <v>0</v>
      </c>
      <c r="K461" s="8" t="s">
        <v>9</v>
      </c>
      <c r="L461" s="8" t="s">
        <v>5</v>
      </c>
      <c r="M461" s="8">
        <v>2026</v>
      </c>
      <c r="N461" s="8">
        <v>3</v>
      </c>
      <c r="O461" s="8"/>
    </row>
    <row r="462" spans="2:15" x14ac:dyDescent="0.25">
      <c r="B462" s="8">
        <v>454</v>
      </c>
      <c r="C462" s="8" t="s">
        <v>122</v>
      </c>
      <c r="D462" s="10">
        <v>46097</v>
      </c>
      <c r="E462" s="8" t="s">
        <v>221</v>
      </c>
      <c r="F462" s="8" t="s">
        <v>25</v>
      </c>
      <c r="G462" s="8">
        <v>280</v>
      </c>
      <c r="H462" s="8">
        <v>0</v>
      </c>
      <c r="I462" s="8">
        <v>-280</v>
      </c>
      <c r="J462" s="8">
        <v>0</v>
      </c>
      <c r="K462" s="8" t="s">
        <v>22</v>
      </c>
      <c r="L462" s="8" t="s">
        <v>5</v>
      </c>
      <c r="M462" s="8">
        <v>2026</v>
      </c>
      <c r="N462" s="8">
        <v>3</v>
      </c>
      <c r="O462" s="8"/>
    </row>
    <row r="463" spans="2:15" x14ac:dyDescent="0.25">
      <c r="B463" s="8">
        <v>455</v>
      </c>
      <c r="C463" s="8" t="s">
        <v>122</v>
      </c>
      <c r="D463" s="10">
        <v>46097</v>
      </c>
      <c r="E463" s="8" t="s">
        <v>378</v>
      </c>
      <c r="F463" s="8" t="s">
        <v>25</v>
      </c>
      <c r="G463" s="8">
        <v>100</v>
      </c>
      <c r="H463" s="8">
        <v>0</v>
      </c>
      <c r="I463" s="8">
        <v>-100</v>
      </c>
      <c r="J463" s="8">
        <v>0</v>
      </c>
      <c r="K463" s="8" t="s">
        <v>22</v>
      </c>
      <c r="L463" s="8" t="s">
        <v>5</v>
      </c>
      <c r="M463" s="8">
        <v>2026</v>
      </c>
      <c r="N463" s="8">
        <v>3</v>
      </c>
      <c r="O463" s="8"/>
    </row>
    <row r="464" spans="2:15" x14ac:dyDescent="0.25">
      <c r="B464" s="8">
        <v>456</v>
      </c>
      <c r="C464" s="8" t="s">
        <v>123</v>
      </c>
      <c r="D464" s="10">
        <v>46097</v>
      </c>
      <c r="E464" s="8" t="s">
        <v>135</v>
      </c>
      <c r="F464" s="8" t="s">
        <v>25</v>
      </c>
      <c r="G464" s="8">
        <v>60</v>
      </c>
      <c r="H464" s="8">
        <v>0</v>
      </c>
      <c r="I464" s="8">
        <v>-60</v>
      </c>
      <c r="J464" s="8">
        <v>0</v>
      </c>
      <c r="K464" s="8" t="s">
        <v>22</v>
      </c>
      <c r="L464" s="8" t="s">
        <v>5</v>
      </c>
      <c r="M464" s="8">
        <v>2026</v>
      </c>
      <c r="N464" s="8">
        <v>3</v>
      </c>
      <c r="O464" s="8"/>
    </row>
    <row r="465" spans="2:15" x14ac:dyDescent="0.25">
      <c r="B465" s="8">
        <v>457</v>
      </c>
      <c r="C465" s="8" t="s">
        <v>122</v>
      </c>
      <c r="D465" s="10">
        <v>46098</v>
      </c>
      <c r="E465" s="8" t="s">
        <v>156</v>
      </c>
      <c r="F465" s="8" t="s">
        <v>10</v>
      </c>
      <c r="G465" s="8">
        <v>370</v>
      </c>
      <c r="H465" s="8">
        <v>0</v>
      </c>
      <c r="I465" s="8">
        <v>-370</v>
      </c>
      <c r="J465" s="8">
        <v>0</v>
      </c>
      <c r="K465" s="8" t="s">
        <v>9</v>
      </c>
      <c r="L465" s="8" t="s">
        <v>5</v>
      </c>
      <c r="M465" s="8">
        <v>2026</v>
      </c>
      <c r="N465" s="8">
        <v>3</v>
      </c>
      <c r="O465" s="8"/>
    </row>
    <row r="466" spans="2:15" x14ac:dyDescent="0.25">
      <c r="B466" s="8">
        <v>458</v>
      </c>
      <c r="C466" s="8" t="s">
        <v>122</v>
      </c>
      <c r="D466" s="10">
        <v>46098</v>
      </c>
      <c r="E466" s="8" t="s">
        <v>421</v>
      </c>
      <c r="F466" s="8" t="s">
        <v>25</v>
      </c>
      <c r="G466" s="8">
        <v>595.77</v>
      </c>
      <c r="H466" s="8">
        <v>0</v>
      </c>
      <c r="I466" s="8">
        <v>-595.77</v>
      </c>
      <c r="J466" s="8">
        <v>0</v>
      </c>
      <c r="K466" s="8" t="s">
        <v>22</v>
      </c>
      <c r="L466" s="8" t="s">
        <v>5</v>
      </c>
      <c r="M466" s="8">
        <v>2026</v>
      </c>
      <c r="N466" s="8">
        <v>3</v>
      </c>
      <c r="O466" s="8"/>
    </row>
    <row r="467" spans="2:15" x14ac:dyDescent="0.25">
      <c r="B467" s="8">
        <v>459</v>
      </c>
      <c r="C467" s="8" t="s">
        <v>122</v>
      </c>
      <c r="D467" s="10">
        <v>46098</v>
      </c>
      <c r="E467" s="8" t="s">
        <v>381</v>
      </c>
      <c r="F467" s="8" t="s">
        <v>21</v>
      </c>
      <c r="G467" s="8">
        <v>25</v>
      </c>
      <c r="H467" s="8">
        <v>0</v>
      </c>
      <c r="I467" s="8">
        <v>-25</v>
      </c>
      <c r="J467" s="8">
        <v>0</v>
      </c>
      <c r="K467" s="8" t="s">
        <v>22</v>
      </c>
      <c r="L467" s="8" t="s">
        <v>5</v>
      </c>
      <c r="M467" s="8">
        <v>2026</v>
      </c>
      <c r="N467" s="8">
        <v>3</v>
      </c>
      <c r="O467" s="8"/>
    </row>
    <row r="468" spans="2:15" x14ac:dyDescent="0.25">
      <c r="B468" s="8">
        <v>460</v>
      </c>
      <c r="C468" s="8" t="s">
        <v>122</v>
      </c>
      <c r="D468" s="10">
        <v>46098</v>
      </c>
      <c r="E468" s="8" t="s">
        <v>381</v>
      </c>
      <c r="F468" s="8" t="s">
        <v>21</v>
      </c>
      <c r="G468" s="8">
        <v>32</v>
      </c>
      <c r="H468" s="8">
        <v>0</v>
      </c>
      <c r="I468" s="8">
        <v>-32</v>
      </c>
      <c r="J468" s="8">
        <v>0</v>
      </c>
      <c r="K468" s="8" t="s">
        <v>22</v>
      </c>
      <c r="L468" s="8" t="s">
        <v>5</v>
      </c>
      <c r="M468" s="8">
        <v>2026</v>
      </c>
      <c r="N468" s="8">
        <v>3</v>
      </c>
      <c r="O468" s="8"/>
    </row>
    <row r="469" spans="2:15" x14ac:dyDescent="0.25">
      <c r="B469" s="8">
        <v>461</v>
      </c>
      <c r="C469" s="8" t="s">
        <v>122</v>
      </c>
      <c r="D469" s="10">
        <v>46099</v>
      </c>
      <c r="E469" s="8" t="s">
        <v>381</v>
      </c>
      <c r="F469" s="8" t="s">
        <v>21</v>
      </c>
      <c r="G469" s="8">
        <v>48</v>
      </c>
      <c r="H469" s="8">
        <v>0</v>
      </c>
      <c r="I469" s="8">
        <v>-48</v>
      </c>
      <c r="J469" s="8">
        <v>0</v>
      </c>
      <c r="K469" s="8" t="s">
        <v>22</v>
      </c>
      <c r="L469" s="8" t="s">
        <v>5</v>
      </c>
      <c r="M469" s="8">
        <v>2026</v>
      </c>
      <c r="N469" s="8">
        <v>3</v>
      </c>
      <c r="O469" s="8"/>
    </row>
    <row r="470" spans="2:15" x14ac:dyDescent="0.25">
      <c r="B470" s="8">
        <v>462</v>
      </c>
      <c r="C470" s="8" t="s">
        <v>122</v>
      </c>
      <c r="D470" s="10">
        <v>46100</v>
      </c>
      <c r="E470" s="8" t="s">
        <v>382</v>
      </c>
      <c r="F470" s="8" t="s">
        <v>36</v>
      </c>
      <c r="G470" s="8">
        <v>20000</v>
      </c>
      <c r="H470" s="8">
        <v>0</v>
      </c>
      <c r="I470" s="8">
        <v>-20000</v>
      </c>
      <c r="J470" s="8">
        <v>0</v>
      </c>
      <c r="K470" s="8" t="s">
        <v>34</v>
      </c>
      <c r="L470" s="8" t="s">
        <v>35</v>
      </c>
      <c r="M470" s="8">
        <v>2026</v>
      </c>
      <c r="N470" s="8">
        <v>3</v>
      </c>
      <c r="O470" s="8"/>
    </row>
    <row r="471" spans="2:15" x14ac:dyDescent="0.25">
      <c r="B471" s="8">
        <v>463</v>
      </c>
      <c r="C471" s="8" t="s">
        <v>122</v>
      </c>
      <c r="D471" s="10">
        <v>46100</v>
      </c>
      <c r="E471" s="8" t="s">
        <v>383</v>
      </c>
      <c r="F471" s="8" t="s">
        <v>20</v>
      </c>
      <c r="G471" s="8">
        <v>250</v>
      </c>
      <c r="H471" s="8">
        <v>0</v>
      </c>
      <c r="I471" s="8">
        <v>-250</v>
      </c>
      <c r="J471" s="8">
        <v>0</v>
      </c>
      <c r="K471" s="8" t="s">
        <v>19</v>
      </c>
      <c r="L471" s="8" t="s">
        <v>5</v>
      </c>
      <c r="M471" s="8">
        <v>2026</v>
      </c>
      <c r="N471" s="8">
        <v>3</v>
      </c>
      <c r="O471" s="8"/>
    </row>
    <row r="472" spans="2:15" x14ac:dyDescent="0.25">
      <c r="B472" s="8">
        <v>464</v>
      </c>
      <c r="C472" s="8" t="s">
        <v>122</v>
      </c>
      <c r="D472" s="10">
        <v>46100</v>
      </c>
      <c r="E472" s="8" t="s">
        <v>144</v>
      </c>
      <c r="F472" s="8" t="s">
        <v>21</v>
      </c>
      <c r="G472" s="8">
        <v>120</v>
      </c>
      <c r="H472" s="8">
        <v>0</v>
      </c>
      <c r="I472" s="8">
        <v>-120</v>
      </c>
      <c r="J472" s="8">
        <v>0</v>
      </c>
      <c r="K472" s="8" t="s">
        <v>22</v>
      </c>
      <c r="L472" s="8" t="s">
        <v>5</v>
      </c>
      <c r="M472" s="8">
        <v>2026</v>
      </c>
      <c r="N472" s="8">
        <v>3</v>
      </c>
      <c r="O472" s="8"/>
    </row>
    <row r="473" spans="2:15" x14ac:dyDescent="0.25">
      <c r="B473" s="8">
        <v>465</v>
      </c>
      <c r="C473" s="8" t="s">
        <v>122</v>
      </c>
      <c r="D473" s="10">
        <v>46100</v>
      </c>
      <c r="E473" s="8" t="s">
        <v>222</v>
      </c>
      <c r="F473" s="8" t="s">
        <v>21</v>
      </c>
      <c r="G473" s="8">
        <v>30</v>
      </c>
      <c r="H473" s="8">
        <v>0</v>
      </c>
      <c r="I473" s="8">
        <v>-30</v>
      </c>
      <c r="J473" s="8">
        <v>0</v>
      </c>
      <c r="K473" s="8" t="s">
        <v>22</v>
      </c>
      <c r="L473" s="8" t="s">
        <v>5</v>
      </c>
      <c r="M473" s="8">
        <v>2026</v>
      </c>
      <c r="N473" s="8">
        <v>3</v>
      </c>
      <c r="O473" s="8"/>
    </row>
    <row r="474" spans="2:15" x14ac:dyDescent="0.25">
      <c r="B474" s="8">
        <v>466</v>
      </c>
      <c r="C474" s="8" t="s">
        <v>122</v>
      </c>
      <c r="D474" s="10">
        <v>46101</v>
      </c>
      <c r="E474" s="8" t="s">
        <v>243</v>
      </c>
      <c r="F474" s="8" t="s">
        <v>21</v>
      </c>
      <c r="G474" s="8">
        <v>55</v>
      </c>
      <c r="H474" s="8">
        <v>0</v>
      </c>
      <c r="I474" s="8">
        <v>-55</v>
      </c>
      <c r="J474" s="8">
        <v>0</v>
      </c>
      <c r="K474" s="8" t="s">
        <v>22</v>
      </c>
      <c r="L474" s="8" t="s">
        <v>5</v>
      </c>
      <c r="M474" s="8">
        <v>2026</v>
      </c>
      <c r="N474" s="8">
        <v>3</v>
      </c>
      <c r="O474" s="8"/>
    </row>
    <row r="475" spans="2:15" x14ac:dyDescent="0.25">
      <c r="B475" s="8">
        <v>467</v>
      </c>
      <c r="C475" s="8" t="s">
        <v>122</v>
      </c>
      <c r="D475" s="10">
        <v>46102</v>
      </c>
      <c r="E475" s="8" t="s">
        <v>8</v>
      </c>
      <c r="F475" s="8" t="s">
        <v>8</v>
      </c>
      <c r="G475" s="8">
        <v>300</v>
      </c>
      <c r="H475" s="8">
        <v>0</v>
      </c>
      <c r="I475" s="8">
        <v>-300</v>
      </c>
      <c r="J475" s="8">
        <v>0</v>
      </c>
      <c r="K475" s="8" t="s">
        <v>9</v>
      </c>
      <c r="L475" s="8" t="s">
        <v>5</v>
      </c>
      <c r="M475" s="8">
        <v>2026</v>
      </c>
      <c r="N475" s="8">
        <v>3</v>
      </c>
      <c r="O475" s="8"/>
    </row>
    <row r="476" spans="2:15" x14ac:dyDescent="0.25">
      <c r="B476" s="8">
        <v>468</v>
      </c>
      <c r="C476" s="8" t="s">
        <v>122</v>
      </c>
      <c r="D476" s="10">
        <v>46102</v>
      </c>
      <c r="E476" s="8" t="s">
        <v>394</v>
      </c>
      <c r="F476" s="8" t="s">
        <v>25</v>
      </c>
      <c r="G476" s="8">
        <v>1180</v>
      </c>
      <c r="H476" s="8">
        <v>0</v>
      </c>
      <c r="I476" s="8">
        <v>-1180</v>
      </c>
      <c r="J476" s="8">
        <v>0</v>
      </c>
      <c r="K476" s="8" t="s">
        <v>22</v>
      </c>
      <c r="L476" s="8" t="s">
        <v>5</v>
      </c>
      <c r="M476" s="8">
        <v>2026</v>
      </c>
      <c r="N476" s="8">
        <v>3</v>
      </c>
      <c r="O476" s="8"/>
    </row>
    <row r="477" spans="2:15" x14ac:dyDescent="0.25">
      <c r="B477" s="8">
        <v>469</v>
      </c>
      <c r="C477" s="8" t="s">
        <v>122</v>
      </c>
      <c r="D477" s="10">
        <v>46102</v>
      </c>
      <c r="E477" s="8" t="s">
        <v>203</v>
      </c>
      <c r="F477" s="8" t="s">
        <v>25</v>
      </c>
      <c r="G477" s="8">
        <v>110</v>
      </c>
      <c r="H477" s="8">
        <v>0</v>
      </c>
      <c r="I477" s="8">
        <v>-110</v>
      </c>
      <c r="J477" s="8">
        <v>0</v>
      </c>
      <c r="K477" s="8" t="s">
        <v>22</v>
      </c>
      <c r="L477" s="8" t="s">
        <v>5</v>
      </c>
      <c r="M477" s="8">
        <v>2026</v>
      </c>
      <c r="N477" s="8">
        <v>3</v>
      </c>
      <c r="O477" s="8"/>
    </row>
    <row r="478" spans="2:15" x14ac:dyDescent="0.25">
      <c r="B478" s="8">
        <v>470</v>
      </c>
      <c r="C478" s="8" t="s">
        <v>123</v>
      </c>
      <c r="D478" s="10">
        <v>46102</v>
      </c>
      <c r="E478" s="8" t="s">
        <v>141</v>
      </c>
      <c r="F478" s="8" t="s">
        <v>21</v>
      </c>
      <c r="G478" s="8">
        <v>163</v>
      </c>
      <c r="H478" s="8">
        <v>0</v>
      </c>
      <c r="I478" s="8">
        <v>-163</v>
      </c>
      <c r="J478" s="8">
        <v>0</v>
      </c>
      <c r="K478" s="8" t="s">
        <v>22</v>
      </c>
      <c r="L478" s="8" t="s">
        <v>5</v>
      </c>
      <c r="M478" s="8">
        <v>2026</v>
      </c>
      <c r="N478" s="8">
        <v>3</v>
      </c>
      <c r="O478" s="8"/>
    </row>
    <row r="479" spans="2:15" x14ac:dyDescent="0.25">
      <c r="B479" s="8">
        <v>471</v>
      </c>
      <c r="C479" s="8" t="s">
        <v>122</v>
      </c>
      <c r="D479" s="10">
        <v>46103</v>
      </c>
      <c r="E479" s="8" t="s">
        <v>136</v>
      </c>
      <c r="F479" s="8" t="s">
        <v>21</v>
      </c>
      <c r="G479" s="8">
        <v>486.23</v>
      </c>
      <c r="H479" s="8">
        <v>0</v>
      </c>
      <c r="I479" s="8">
        <v>-486.23</v>
      </c>
      <c r="J479" s="8">
        <v>0</v>
      </c>
      <c r="K479" s="8" t="s">
        <v>22</v>
      </c>
      <c r="L479" s="8" t="s">
        <v>5</v>
      </c>
      <c r="M479" s="8">
        <v>2026</v>
      </c>
      <c r="N479" s="8">
        <v>3</v>
      </c>
      <c r="O479" s="8"/>
    </row>
    <row r="480" spans="2:15" x14ac:dyDescent="0.25">
      <c r="B480" s="8">
        <v>472</v>
      </c>
      <c r="C480" s="8" t="s">
        <v>122</v>
      </c>
      <c r="D480" s="10">
        <v>46103</v>
      </c>
      <c r="E480" s="8" t="s">
        <v>356</v>
      </c>
      <c r="F480" s="8" t="s">
        <v>14</v>
      </c>
      <c r="G480" s="8">
        <v>60</v>
      </c>
      <c r="H480" s="8">
        <v>0</v>
      </c>
      <c r="I480" s="8">
        <v>-60</v>
      </c>
      <c r="J480" s="8">
        <v>0</v>
      </c>
      <c r="K480" s="8" t="s">
        <v>13</v>
      </c>
      <c r="L480" s="8" t="s">
        <v>5</v>
      </c>
      <c r="M480" s="8">
        <v>2026</v>
      </c>
      <c r="N480" s="8">
        <v>3</v>
      </c>
      <c r="O480" s="8"/>
    </row>
    <row r="481" spans="2:15" x14ac:dyDescent="0.25">
      <c r="B481" s="8">
        <v>473</v>
      </c>
      <c r="C481" s="8" t="s">
        <v>122</v>
      </c>
      <c r="D481" s="10">
        <v>46103</v>
      </c>
      <c r="E481" s="8" t="s">
        <v>191</v>
      </c>
      <c r="F481" s="8" t="s">
        <v>21</v>
      </c>
      <c r="G481" s="8">
        <v>36</v>
      </c>
      <c r="H481" s="8">
        <v>0</v>
      </c>
      <c r="I481" s="8">
        <v>-36</v>
      </c>
      <c r="J481" s="8">
        <v>0</v>
      </c>
      <c r="K481" s="8" t="s">
        <v>22</v>
      </c>
      <c r="L481" s="8" t="s">
        <v>5</v>
      </c>
      <c r="M481" s="8">
        <v>2026</v>
      </c>
      <c r="N481" s="8">
        <v>3</v>
      </c>
      <c r="O481" s="8"/>
    </row>
    <row r="482" spans="2:15" x14ac:dyDescent="0.25">
      <c r="B482" s="8">
        <v>474</v>
      </c>
      <c r="C482" s="8" t="s">
        <v>123</v>
      </c>
      <c r="D482" s="10">
        <v>46103</v>
      </c>
      <c r="E482" s="8" t="s">
        <v>141</v>
      </c>
      <c r="F482" s="8" t="s">
        <v>21</v>
      </c>
      <c r="G482" s="8">
        <v>378</v>
      </c>
      <c r="H482" s="8">
        <v>0</v>
      </c>
      <c r="I482" s="8">
        <v>-378</v>
      </c>
      <c r="J482" s="8">
        <v>0</v>
      </c>
      <c r="K482" s="8" t="s">
        <v>22</v>
      </c>
      <c r="L482" s="8" t="s">
        <v>5</v>
      </c>
      <c r="M482" s="8">
        <v>2026</v>
      </c>
      <c r="N482" s="8">
        <v>3</v>
      </c>
      <c r="O482" s="8"/>
    </row>
    <row r="483" spans="2:15" x14ac:dyDescent="0.25">
      <c r="B483" s="8">
        <v>475</v>
      </c>
      <c r="C483" s="8" t="s">
        <v>122</v>
      </c>
      <c r="D483" s="10">
        <v>46104</v>
      </c>
      <c r="E483" s="8" t="s">
        <v>169</v>
      </c>
      <c r="F483" s="8" t="s">
        <v>21</v>
      </c>
      <c r="G483" s="8">
        <v>27</v>
      </c>
      <c r="H483" s="8">
        <v>0</v>
      </c>
      <c r="I483" s="8">
        <v>-27</v>
      </c>
      <c r="J483" s="8">
        <v>0</v>
      </c>
      <c r="K483" s="8" t="s">
        <v>22</v>
      </c>
      <c r="L483" s="8" t="s">
        <v>5</v>
      </c>
      <c r="M483" s="8">
        <v>2026</v>
      </c>
      <c r="N483" s="8">
        <v>3</v>
      </c>
      <c r="O483" s="8"/>
    </row>
    <row r="484" spans="2:15" x14ac:dyDescent="0.25">
      <c r="B484" s="8">
        <v>476</v>
      </c>
      <c r="C484" s="8" t="s">
        <v>122</v>
      </c>
      <c r="D484" s="10">
        <v>46104</v>
      </c>
      <c r="E484" s="8" t="s">
        <v>387</v>
      </c>
      <c r="F484" s="8" t="s">
        <v>21</v>
      </c>
      <c r="G484" s="8">
        <v>44</v>
      </c>
      <c r="H484" s="8">
        <v>0</v>
      </c>
      <c r="I484" s="8">
        <v>-44</v>
      </c>
      <c r="J484" s="8">
        <v>0</v>
      </c>
      <c r="K484" s="8" t="s">
        <v>22</v>
      </c>
      <c r="L484" s="8" t="s">
        <v>5</v>
      </c>
      <c r="M484" s="8">
        <v>2026</v>
      </c>
      <c r="N484" s="8">
        <v>3</v>
      </c>
      <c r="O484" s="8"/>
    </row>
    <row r="485" spans="2:15" x14ac:dyDescent="0.25">
      <c r="B485" s="8">
        <v>477</v>
      </c>
      <c r="C485" s="8" t="s">
        <v>122</v>
      </c>
      <c r="D485" s="10">
        <v>46104</v>
      </c>
      <c r="E485" s="8" t="s">
        <v>395</v>
      </c>
      <c r="F485" s="8" t="s">
        <v>10</v>
      </c>
      <c r="G485" s="8">
        <v>465</v>
      </c>
      <c r="H485" s="8">
        <v>0</v>
      </c>
      <c r="I485" s="8">
        <v>-465</v>
      </c>
      <c r="J485" s="8">
        <v>0</v>
      </c>
      <c r="K485" s="8" t="s">
        <v>9</v>
      </c>
      <c r="L485" s="8" t="s">
        <v>5</v>
      </c>
      <c r="M485" s="8">
        <v>2026</v>
      </c>
      <c r="N485" s="8">
        <v>3</v>
      </c>
      <c r="O485" s="8"/>
    </row>
    <row r="486" spans="2:15" x14ac:dyDescent="0.25">
      <c r="B486" s="8">
        <v>478</v>
      </c>
      <c r="C486" s="8" t="s">
        <v>122</v>
      </c>
      <c r="D486" s="10">
        <v>46105</v>
      </c>
      <c r="E486" s="8" t="s">
        <v>422</v>
      </c>
      <c r="F486" s="8" t="s">
        <v>6</v>
      </c>
      <c r="G486" s="8">
        <v>66</v>
      </c>
      <c r="H486" s="8">
        <v>0</v>
      </c>
      <c r="I486" s="8">
        <v>-66</v>
      </c>
      <c r="J486" s="8">
        <v>0</v>
      </c>
      <c r="K486" s="8" t="s">
        <v>4</v>
      </c>
      <c r="L486" s="8" t="s">
        <v>5</v>
      </c>
      <c r="M486" s="8">
        <v>2026</v>
      </c>
      <c r="N486" s="8">
        <v>3</v>
      </c>
      <c r="O486" s="8"/>
    </row>
    <row r="487" spans="2:15" x14ac:dyDescent="0.25">
      <c r="B487" s="8">
        <v>479</v>
      </c>
      <c r="C487" s="8" t="s">
        <v>122</v>
      </c>
      <c r="D487" s="10">
        <v>46105</v>
      </c>
      <c r="E487" s="8" t="s">
        <v>396</v>
      </c>
      <c r="F487" s="8" t="s">
        <v>25</v>
      </c>
      <c r="G487" s="8">
        <v>200</v>
      </c>
      <c r="H487" s="8">
        <v>0</v>
      </c>
      <c r="I487" s="8">
        <v>-200</v>
      </c>
      <c r="J487" s="8">
        <v>0</v>
      </c>
      <c r="K487" s="8" t="s">
        <v>22</v>
      </c>
      <c r="L487" s="8" t="s">
        <v>5</v>
      </c>
      <c r="M487" s="8">
        <v>2026</v>
      </c>
      <c r="N487" s="8">
        <v>3</v>
      </c>
      <c r="O487" s="8"/>
    </row>
    <row r="488" spans="2:15" x14ac:dyDescent="0.25">
      <c r="B488" s="8">
        <v>480</v>
      </c>
      <c r="C488" s="8" t="s">
        <v>123</v>
      </c>
      <c r="D488" s="10">
        <v>46105</v>
      </c>
      <c r="E488" s="8" t="s">
        <v>25</v>
      </c>
      <c r="F488" s="8" t="s">
        <v>25</v>
      </c>
      <c r="G488" s="8">
        <v>48</v>
      </c>
      <c r="H488" s="8">
        <v>0</v>
      </c>
      <c r="I488" s="8">
        <v>-48</v>
      </c>
      <c r="J488" s="8">
        <v>0</v>
      </c>
      <c r="K488" s="8" t="s">
        <v>22</v>
      </c>
      <c r="L488" s="8" t="s">
        <v>5</v>
      </c>
      <c r="M488" s="8">
        <v>2026</v>
      </c>
      <c r="N488" s="8">
        <v>3</v>
      </c>
      <c r="O488" s="8"/>
    </row>
    <row r="489" spans="2:15" x14ac:dyDescent="0.25">
      <c r="B489" s="8">
        <v>481</v>
      </c>
      <c r="C489" s="8" t="s">
        <v>122</v>
      </c>
      <c r="D489" s="10">
        <v>46106</v>
      </c>
      <c r="E489" s="8" t="s">
        <v>290</v>
      </c>
      <c r="F489" s="8" t="s">
        <v>25</v>
      </c>
      <c r="G489" s="8">
        <v>110</v>
      </c>
      <c r="H489" s="8">
        <v>0</v>
      </c>
      <c r="I489" s="8">
        <v>-110</v>
      </c>
      <c r="J489" s="8">
        <v>0</v>
      </c>
      <c r="K489" s="8" t="s">
        <v>22</v>
      </c>
      <c r="L489" s="8" t="s">
        <v>5</v>
      </c>
      <c r="M489" s="8">
        <v>2026</v>
      </c>
      <c r="N489" s="8">
        <v>3</v>
      </c>
      <c r="O489" s="8"/>
    </row>
    <row r="490" spans="2:15" x14ac:dyDescent="0.25">
      <c r="B490" s="8">
        <v>482</v>
      </c>
      <c r="C490" s="8" t="s">
        <v>122</v>
      </c>
      <c r="D490" s="10">
        <v>46108</v>
      </c>
      <c r="E490" s="8" t="s">
        <v>388</v>
      </c>
      <c r="F490" s="8" t="s">
        <v>10</v>
      </c>
      <c r="G490" s="8">
        <v>28</v>
      </c>
      <c r="H490" s="8">
        <v>0</v>
      </c>
      <c r="I490" s="8">
        <v>-28</v>
      </c>
      <c r="J490" s="8">
        <v>0</v>
      </c>
      <c r="K490" s="8" t="s">
        <v>9</v>
      </c>
      <c r="L490" s="8" t="s">
        <v>5</v>
      </c>
      <c r="M490" s="8">
        <v>2026</v>
      </c>
      <c r="N490" s="8">
        <v>3</v>
      </c>
      <c r="O490" s="8"/>
    </row>
    <row r="491" spans="2:15" x14ac:dyDescent="0.25">
      <c r="B491" s="8">
        <v>483</v>
      </c>
      <c r="C491" s="8" t="s">
        <v>122</v>
      </c>
      <c r="D491" s="10">
        <v>46108</v>
      </c>
      <c r="E491" s="8" t="s">
        <v>389</v>
      </c>
      <c r="F491" s="8" t="s">
        <v>10</v>
      </c>
      <c r="G491" s="8">
        <v>24</v>
      </c>
      <c r="H491" s="8">
        <v>0</v>
      </c>
      <c r="I491" s="8">
        <v>-24</v>
      </c>
      <c r="J491" s="8">
        <v>0</v>
      </c>
      <c r="K491" s="8" t="s">
        <v>9</v>
      </c>
      <c r="L491" s="8" t="s">
        <v>5</v>
      </c>
      <c r="M491" s="8">
        <v>2026</v>
      </c>
      <c r="N491" s="8">
        <v>3</v>
      </c>
      <c r="O491" s="8"/>
    </row>
    <row r="492" spans="2:15" x14ac:dyDescent="0.25">
      <c r="B492" s="8">
        <v>484</v>
      </c>
      <c r="C492" s="8" t="s">
        <v>122</v>
      </c>
      <c r="D492" s="10">
        <v>46108</v>
      </c>
      <c r="E492" s="8" t="s">
        <v>241</v>
      </c>
      <c r="F492" s="8" t="s">
        <v>25</v>
      </c>
      <c r="G492" s="8">
        <v>210</v>
      </c>
      <c r="H492" s="8">
        <v>0</v>
      </c>
      <c r="I492" s="8">
        <v>-210</v>
      </c>
      <c r="J492" s="8">
        <v>0</v>
      </c>
      <c r="K492" s="8" t="s">
        <v>22</v>
      </c>
      <c r="L492" s="8" t="s">
        <v>5</v>
      </c>
      <c r="M492" s="8">
        <v>2026</v>
      </c>
      <c r="N492" s="8">
        <v>3</v>
      </c>
      <c r="O492" s="8"/>
    </row>
    <row r="493" spans="2:15" x14ac:dyDescent="0.25">
      <c r="B493" s="8">
        <v>485</v>
      </c>
      <c r="C493" s="8" t="s">
        <v>122</v>
      </c>
      <c r="D493" s="10">
        <v>46108</v>
      </c>
      <c r="E493" s="8" t="s">
        <v>390</v>
      </c>
      <c r="F493" s="8" t="s">
        <v>10</v>
      </c>
      <c r="G493" s="8">
        <v>300</v>
      </c>
      <c r="H493" s="8">
        <v>0</v>
      </c>
      <c r="I493" s="8">
        <v>-300</v>
      </c>
      <c r="J493" s="8">
        <v>0</v>
      </c>
      <c r="K493" s="8" t="s">
        <v>9</v>
      </c>
      <c r="L493" s="8" t="s">
        <v>5</v>
      </c>
      <c r="M493" s="8">
        <v>2026</v>
      </c>
      <c r="N493" s="8">
        <v>3</v>
      </c>
      <c r="O493" s="8"/>
    </row>
    <row r="494" spans="2:15" x14ac:dyDescent="0.25">
      <c r="B494" s="8">
        <v>486</v>
      </c>
      <c r="C494" s="8" t="s">
        <v>122</v>
      </c>
      <c r="D494" s="10">
        <v>46109</v>
      </c>
      <c r="E494" s="8" t="s">
        <v>391</v>
      </c>
      <c r="F494" s="8" t="s">
        <v>10</v>
      </c>
      <c r="G494" s="8">
        <v>52</v>
      </c>
      <c r="H494" s="8">
        <v>0</v>
      </c>
      <c r="I494" s="8">
        <v>-52</v>
      </c>
      <c r="J494" s="8">
        <v>0</v>
      </c>
      <c r="K494" s="8" t="s">
        <v>9</v>
      </c>
      <c r="L494" s="8" t="s">
        <v>5</v>
      </c>
      <c r="M494" s="8">
        <v>2026</v>
      </c>
      <c r="N494" s="8">
        <v>3</v>
      </c>
      <c r="O494" s="8"/>
    </row>
    <row r="495" spans="2:15" x14ac:dyDescent="0.25">
      <c r="B495" s="8">
        <v>487</v>
      </c>
      <c r="C495" s="8" t="s">
        <v>122</v>
      </c>
      <c r="D495" s="10">
        <v>46109</v>
      </c>
      <c r="E495" s="8" t="s">
        <v>392</v>
      </c>
      <c r="F495" s="8" t="s">
        <v>25</v>
      </c>
      <c r="G495" s="8">
        <v>20</v>
      </c>
      <c r="H495" s="8">
        <v>0</v>
      </c>
      <c r="I495" s="8">
        <v>-20</v>
      </c>
      <c r="J495" s="8">
        <v>0</v>
      </c>
      <c r="K495" s="8" t="s">
        <v>22</v>
      </c>
      <c r="L495" s="8" t="s">
        <v>5</v>
      </c>
      <c r="M495" s="8">
        <v>2026</v>
      </c>
      <c r="N495" s="8">
        <v>3</v>
      </c>
      <c r="O495" s="8"/>
    </row>
    <row r="496" spans="2:15" x14ac:dyDescent="0.25">
      <c r="B496" s="8">
        <v>488</v>
      </c>
      <c r="C496" s="8" t="s">
        <v>122</v>
      </c>
      <c r="D496" s="10">
        <v>46109</v>
      </c>
      <c r="E496" s="8" t="s">
        <v>138</v>
      </c>
      <c r="F496" s="8" t="s">
        <v>26</v>
      </c>
      <c r="G496" s="8">
        <v>50</v>
      </c>
      <c r="H496" s="8">
        <v>0</v>
      </c>
      <c r="I496" s="8">
        <v>-50</v>
      </c>
      <c r="J496" s="8">
        <v>0</v>
      </c>
      <c r="K496" s="8" t="s">
        <v>22</v>
      </c>
      <c r="L496" s="8" t="s">
        <v>5</v>
      </c>
      <c r="M496" s="8">
        <v>2026</v>
      </c>
      <c r="N496" s="8">
        <v>3</v>
      </c>
      <c r="O496" s="8"/>
    </row>
    <row r="497" spans="2:15" x14ac:dyDescent="0.25">
      <c r="B497" s="8">
        <v>489</v>
      </c>
      <c r="C497" s="8" t="s">
        <v>122</v>
      </c>
      <c r="D497" s="10">
        <v>46109</v>
      </c>
      <c r="E497" s="8" t="s">
        <v>128</v>
      </c>
      <c r="F497" s="8" t="s">
        <v>15</v>
      </c>
      <c r="G497" s="8">
        <v>145</v>
      </c>
      <c r="H497" s="8">
        <v>0</v>
      </c>
      <c r="I497" s="8">
        <v>-145</v>
      </c>
      <c r="J497" s="8">
        <v>0</v>
      </c>
      <c r="K497" s="8" t="s">
        <v>16</v>
      </c>
      <c r="L497" s="8" t="s">
        <v>5</v>
      </c>
      <c r="M497" s="8">
        <v>2026</v>
      </c>
      <c r="N497" s="8">
        <v>3</v>
      </c>
      <c r="O497" s="8"/>
    </row>
    <row r="498" spans="2:15" x14ac:dyDescent="0.25">
      <c r="B498" s="8">
        <v>490</v>
      </c>
      <c r="C498" s="8" t="s">
        <v>122</v>
      </c>
      <c r="D498" s="10">
        <v>46109</v>
      </c>
      <c r="E498" s="8" t="s">
        <v>398</v>
      </c>
      <c r="F498" s="8" t="s">
        <v>15</v>
      </c>
      <c r="G498" s="8">
        <v>800</v>
      </c>
      <c r="H498" s="8">
        <v>0</v>
      </c>
      <c r="I498" s="8">
        <v>-800</v>
      </c>
      <c r="J498" s="8">
        <v>0</v>
      </c>
      <c r="K498" s="8" t="s">
        <v>16</v>
      </c>
      <c r="L498" s="8" t="s">
        <v>5</v>
      </c>
      <c r="M498" s="8">
        <v>2026</v>
      </c>
      <c r="N498" s="8">
        <v>3</v>
      </c>
      <c r="O498" s="8"/>
    </row>
    <row r="499" spans="2:15" x14ac:dyDescent="0.25">
      <c r="B499" s="8">
        <v>491</v>
      </c>
      <c r="C499" s="8" t="s">
        <v>122</v>
      </c>
      <c r="D499" s="10">
        <v>46110</v>
      </c>
      <c r="E499" s="8" t="s">
        <v>128</v>
      </c>
      <c r="F499" s="8" t="s">
        <v>15</v>
      </c>
      <c r="G499" s="8">
        <v>145</v>
      </c>
      <c r="H499" s="8">
        <v>0</v>
      </c>
      <c r="I499" s="8">
        <v>-145</v>
      </c>
      <c r="J499" s="8">
        <v>0</v>
      </c>
      <c r="K499" s="8" t="s">
        <v>16</v>
      </c>
      <c r="L499" s="8" t="s">
        <v>5</v>
      </c>
      <c r="M499" s="8">
        <v>2026</v>
      </c>
      <c r="N499" s="8">
        <v>3</v>
      </c>
      <c r="O499" s="8"/>
    </row>
    <row r="500" spans="2:15" x14ac:dyDescent="0.25">
      <c r="B500" s="8">
        <v>492</v>
      </c>
      <c r="C500" s="8" t="s">
        <v>122</v>
      </c>
      <c r="D500" s="10">
        <v>46110</v>
      </c>
      <c r="E500" s="8" t="s">
        <v>128</v>
      </c>
      <c r="F500" s="8" t="s">
        <v>15</v>
      </c>
      <c r="G500" s="8">
        <v>661</v>
      </c>
      <c r="H500" s="8">
        <v>0</v>
      </c>
      <c r="I500" s="8">
        <v>-661</v>
      </c>
      <c r="J500" s="8">
        <v>0</v>
      </c>
      <c r="K500" s="8" t="s">
        <v>16</v>
      </c>
      <c r="L500" s="8" t="s">
        <v>5</v>
      </c>
      <c r="M500" s="8">
        <v>2026</v>
      </c>
      <c r="N500" s="8">
        <v>3</v>
      </c>
      <c r="O500" s="8"/>
    </row>
    <row r="501" spans="2:15" x14ac:dyDescent="0.25">
      <c r="B501" s="8">
        <v>493</v>
      </c>
      <c r="C501" s="8" t="s">
        <v>123</v>
      </c>
      <c r="D501" s="10">
        <v>46110</v>
      </c>
      <c r="E501" s="8" t="s">
        <v>138</v>
      </c>
      <c r="F501" s="8" t="s">
        <v>26</v>
      </c>
      <c r="G501" s="8">
        <v>130</v>
      </c>
      <c r="H501" s="8">
        <v>0</v>
      </c>
      <c r="I501" s="8">
        <v>-130</v>
      </c>
      <c r="J501" s="8">
        <v>0</v>
      </c>
      <c r="K501" s="8" t="s">
        <v>22</v>
      </c>
      <c r="L501" s="8" t="s">
        <v>5</v>
      </c>
      <c r="M501" s="8">
        <v>2026</v>
      </c>
      <c r="N501" s="8">
        <v>3</v>
      </c>
      <c r="O501" s="8"/>
    </row>
    <row r="502" spans="2:15" x14ac:dyDescent="0.25">
      <c r="B502" s="8">
        <v>494</v>
      </c>
      <c r="C502" s="8" t="s">
        <v>122</v>
      </c>
      <c r="D502" s="10">
        <v>46112</v>
      </c>
      <c r="E502" s="8" t="s">
        <v>415</v>
      </c>
      <c r="F502" s="8" t="s">
        <v>409</v>
      </c>
      <c r="G502" s="8">
        <v>3000</v>
      </c>
      <c r="H502" s="8">
        <v>0</v>
      </c>
      <c r="I502" s="8">
        <v>-3000</v>
      </c>
      <c r="J502" s="8">
        <v>0</v>
      </c>
      <c r="K502" s="8" t="s">
        <v>418</v>
      </c>
      <c r="L502" s="8" t="s">
        <v>5</v>
      </c>
      <c r="M502" s="8">
        <v>2026</v>
      </c>
      <c r="N502" s="8">
        <v>3</v>
      </c>
      <c r="O502" s="8"/>
    </row>
    <row r="503" spans="2:15" x14ac:dyDescent="0.25">
      <c r="B503" s="8">
        <v>495</v>
      </c>
      <c r="C503" s="8" t="s">
        <v>123</v>
      </c>
      <c r="D503" s="10">
        <v>46112</v>
      </c>
      <c r="E503" s="8" t="s">
        <v>413</v>
      </c>
      <c r="F503" s="8" t="s">
        <v>409</v>
      </c>
      <c r="G503" s="8">
        <v>8000</v>
      </c>
      <c r="H503" s="8">
        <v>0</v>
      </c>
      <c r="I503" s="8">
        <v>-8000</v>
      </c>
      <c r="J503" s="8">
        <v>0</v>
      </c>
      <c r="K503" s="8" t="s">
        <v>418</v>
      </c>
      <c r="L503" s="8" t="s">
        <v>5</v>
      </c>
      <c r="M503" s="8">
        <v>2026</v>
      </c>
      <c r="N503" s="8">
        <v>3</v>
      </c>
      <c r="O503" s="8"/>
    </row>
    <row r="504" spans="2:15" x14ac:dyDescent="0.25">
      <c r="B504" s="8">
        <v>496</v>
      </c>
      <c r="C504" s="8" t="s">
        <v>123</v>
      </c>
      <c r="D504" s="10">
        <v>46112</v>
      </c>
      <c r="E504" s="8" t="s">
        <v>414</v>
      </c>
      <c r="F504" s="8" t="s">
        <v>410</v>
      </c>
      <c r="G504" s="8">
        <v>0</v>
      </c>
      <c r="H504" s="8">
        <v>6874.82</v>
      </c>
      <c r="I504" s="8">
        <v>6874.82</v>
      </c>
      <c r="J504" s="8">
        <v>0</v>
      </c>
      <c r="K504" s="8" t="s">
        <v>417</v>
      </c>
      <c r="L504" s="8" t="s">
        <v>44</v>
      </c>
      <c r="M504" s="8">
        <v>2026</v>
      </c>
      <c r="N504" s="8">
        <v>3</v>
      </c>
      <c r="O504" s="8"/>
    </row>
    <row r="505" spans="2:15" x14ac:dyDescent="0.25">
      <c r="B505" s="8">
        <v>497</v>
      </c>
      <c r="C505" s="8" t="s">
        <v>123</v>
      </c>
      <c r="D505" s="10">
        <v>46112</v>
      </c>
      <c r="E505" s="8" t="s">
        <v>124</v>
      </c>
      <c r="F505" s="8" t="s">
        <v>36</v>
      </c>
      <c r="G505" s="8">
        <v>3000</v>
      </c>
      <c r="H505" s="8">
        <v>0</v>
      </c>
      <c r="I505" s="8">
        <v>-3000</v>
      </c>
      <c r="J505" s="8">
        <v>0</v>
      </c>
      <c r="K505" s="8" t="s">
        <v>34</v>
      </c>
      <c r="L505" s="8" t="s">
        <v>35</v>
      </c>
      <c r="M505" s="8">
        <v>2026</v>
      </c>
      <c r="N505" s="8">
        <v>3</v>
      </c>
      <c r="O505" s="8"/>
    </row>
    <row r="506" spans="2:15" x14ac:dyDescent="0.25">
      <c r="B506" s="8">
        <v>498</v>
      </c>
      <c r="C506" s="8" t="s">
        <v>122</v>
      </c>
      <c r="D506" s="10">
        <v>46113</v>
      </c>
      <c r="E506" s="8" t="s">
        <v>393</v>
      </c>
      <c r="F506" s="8" t="s">
        <v>21</v>
      </c>
      <c r="G506" s="8">
        <v>41</v>
      </c>
      <c r="H506" s="8">
        <v>0</v>
      </c>
      <c r="I506" s="8">
        <v>-41</v>
      </c>
      <c r="J506" s="8">
        <v>0</v>
      </c>
      <c r="K506" s="8" t="s">
        <v>22</v>
      </c>
      <c r="L506" s="8" t="s">
        <v>5</v>
      </c>
      <c r="M506" s="8">
        <v>2026</v>
      </c>
      <c r="N506" s="8">
        <v>4</v>
      </c>
      <c r="O506" s="8"/>
    </row>
    <row r="507" spans="2:15" x14ac:dyDescent="0.25">
      <c r="B507" s="8">
        <v>499</v>
      </c>
      <c r="C507" s="8" t="s">
        <v>122</v>
      </c>
      <c r="D507" s="10">
        <v>46113</v>
      </c>
      <c r="E507" s="8" t="s">
        <v>397</v>
      </c>
      <c r="F507" s="8" t="s">
        <v>27</v>
      </c>
      <c r="G507" s="8">
        <v>2000</v>
      </c>
      <c r="H507" s="8">
        <v>0</v>
      </c>
      <c r="I507" s="8">
        <v>-2000</v>
      </c>
      <c r="J507" s="8">
        <v>0</v>
      </c>
      <c r="K507" s="8" t="s">
        <v>28</v>
      </c>
      <c r="L507" s="8" t="s">
        <v>5</v>
      </c>
      <c r="M507" s="8">
        <v>2026</v>
      </c>
      <c r="N507" s="8">
        <v>4</v>
      </c>
      <c r="O507" s="8"/>
    </row>
    <row r="508" spans="2:15" x14ac:dyDescent="0.25">
      <c r="B508" s="8">
        <v>500</v>
      </c>
      <c r="C508" s="8" t="s">
        <v>122</v>
      </c>
      <c r="D508" s="10">
        <v>46113</v>
      </c>
      <c r="E508" s="8" t="s">
        <v>42</v>
      </c>
      <c r="F508" s="8" t="s">
        <v>85</v>
      </c>
      <c r="G508" s="8">
        <v>0</v>
      </c>
      <c r="H508" s="8">
        <v>57640</v>
      </c>
      <c r="I508" s="8">
        <v>57640</v>
      </c>
      <c r="J508" s="8">
        <v>0</v>
      </c>
      <c r="K508" s="8" t="s">
        <v>43</v>
      </c>
      <c r="L508" s="8" t="s">
        <v>44</v>
      </c>
      <c r="M508" s="8">
        <v>2026</v>
      </c>
      <c r="N508" s="8">
        <v>4</v>
      </c>
      <c r="O508" s="8"/>
    </row>
    <row r="509" spans="2:15" x14ac:dyDescent="0.25">
      <c r="B509" s="8">
        <v>501</v>
      </c>
      <c r="C509" s="8" t="s">
        <v>122</v>
      </c>
      <c r="D509" s="10">
        <v>46113</v>
      </c>
      <c r="E509" s="8" t="s">
        <v>21</v>
      </c>
      <c r="F509" s="8" t="s">
        <v>21</v>
      </c>
      <c r="G509" s="8">
        <v>103</v>
      </c>
      <c r="H509" s="8">
        <v>0</v>
      </c>
      <c r="I509" s="8">
        <v>-103</v>
      </c>
      <c r="J509" s="8">
        <v>0</v>
      </c>
      <c r="K509" s="8" t="s">
        <v>22</v>
      </c>
      <c r="L509" s="8" t="s">
        <v>5</v>
      </c>
      <c r="M509" s="8">
        <v>2026</v>
      </c>
      <c r="N509" s="8">
        <v>4</v>
      </c>
      <c r="O509" s="8"/>
    </row>
    <row r="510" spans="2:15" x14ac:dyDescent="0.25">
      <c r="B510" s="8">
        <v>502</v>
      </c>
      <c r="C510" s="8" t="s">
        <v>122</v>
      </c>
      <c r="D510" s="10">
        <v>46113</v>
      </c>
      <c r="E510" s="8" t="s">
        <v>420</v>
      </c>
      <c r="F510" s="8" t="s">
        <v>408</v>
      </c>
      <c r="G510" s="8">
        <v>6874.82</v>
      </c>
      <c r="H510" s="8">
        <v>0</v>
      </c>
      <c r="I510" s="8">
        <v>-6874.82</v>
      </c>
      <c r="J510" s="8">
        <v>0</v>
      </c>
      <c r="K510" s="8" t="s">
        <v>418</v>
      </c>
      <c r="L510" s="8" t="s">
        <v>5</v>
      </c>
      <c r="M510" s="8">
        <v>2026</v>
      </c>
      <c r="N510" s="8">
        <v>4</v>
      </c>
      <c r="O510" s="8"/>
    </row>
    <row r="511" spans="2:15" x14ac:dyDescent="0.25">
      <c r="B511" s="8">
        <v>503</v>
      </c>
      <c r="C511" s="8" t="s">
        <v>122</v>
      </c>
      <c r="D511" s="10">
        <v>46113</v>
      </c>
      <c r="E511" s="8" t="s">
        <v>179</v>
      </c>
      <c r="F511" s="8" t="s">
        <v>83</v>
      </c>
      <c r="G511" s="8">
        <v>5000</v>
      </c>
      <c r="H511" s="8">
        <v>0</v>
      </c>
      <c r="I511" s="8">
        <v>-5000</v>
      </c>
      <c r="J511" s="8">
        <v>0</v>
      </c>
      <c r="K511" s="8" t="s">
        <v>38</v>
      </c>
      <c r="L511" s="8" t="s">
        <v>5</v>
      </c>
      <c r="M511" s="8">
        <v>2026</v>
      </c>
      <c r="N511" s="8">
        <v>4</v>
      </c>
      <c r="O511" s="8"/>
    </row>
    <row r="512" spans="2:15" x14ac:dyDescent="0.25">
      <c r="B512" s="8">
        <v>504</v>
      </c>
      <c r="C512" s="8" t="s">
        <v>122</v>
      </c>
      <c r="D512" s="10">
        <v>46113</v>
      </c>
      <c r="E512" s="8" t="s">
        <v>147</v>
      </c>
      <c r="F512" s="8" t="s">
        <v>25</v>
      </c>
      <c r="G512" s="8">
        <v>30</v>
      </c>
      <c r="H512" s="8">
        <v>0</v>
      </c>
      <c r="I512" s="8">
        <v>-30</v>
      </c>
      <c r="J512" s="8">
        <v>0</v>
      </c>
      <c r="K512" s="8" t="s">
        <v>22</v>
      </c>
      <c r="L512" s="8" t="s">
        <v>5</v>
      </c>
      <c r="M512" s="8">
        <v>2026</v>
      </c>
      <c r="N512" s="8">
        <v>4</v>
      </c>
      <c r="O512" s="8"/>
    </row>
    <row r="513" spans="2:15" x14ac:dyDescent="0.25">
      <c r="B513" s="8">
        <v>505</v>
      </c>
      <c r="C513" s="8" t="s">
        <v>122</v>
      </c>
      <c r="D513" s="10">
        <v>46113</v>
      </c>
      <c r="E513" s="8" t="s">
        <v>169</v>
      </c>
      <c r="F513" s="8" t="s">
        <v>21</v>
      </c>
      <c r="G513" s="8">
        <v>73</v>
      </c>
      <c r="H513" s="8">
        <v>0</v>
      </c>
      <c r="I513" s="8">
        <v>-73</v>
      </c>
      <c r="J513" s="8">
        <v>0</v>
      </c>
      <c r="K513" s="8" t="s">
        <v>22</v>
      </c>
      <c r="L513" s="8" t="s">
        <v>5</v>
      </c>
      <c r="M513" s="8">
        <v>2026</v>
      </c>
      <c r="N513" s="8">
        <v>4</v>
      </c>
      <c r="O513" s="8"/>
    </row>
    <row r="514" spans="2:15" x14ac:dyDescent="0.25">
      <c r="B514" s="8">
        <v>506</v>
      </c>
      <c r="C514" s="8" t="s">
        <v>123</v>
      </c>
      <c r="D514" s="10">
        <v>46113</v>
      </c>
      <c r="E514" s="8" t="s">
        <v>399</v>
      </c>
      <c r="F514" s="8" t="s">
        <v>36</v>
      </c>
      <c r="G514" s="8">
        <v>100</v>
      </c>
      <c r="H514" s="8">
        <v>0</v>
      </c>
      <c r="I514" s="8">
        <v>-100</v>
      </c>
      <c r="J514" s="8">
        <v>0</v>
      </c>
      <c r="K514" s="8" t="s">
        <v>34</v>
      </c>
      <c r="L514" s="8" t="s">
        <v>35</v>
      </c>
      <c r="M514" s="8">
        <v>2026</v>
      </c>
      <c r="N514" s="8">
        <v>4</v>
      </c>
      <c r="O514" s="8"/>
    </row>
    <row r="515" spans="2:15" x14ac:dyDescent="0.25">
      <c r="B515" s="8">
        <v>507</v>
      </c>
      <c r="C515" s="8" t="s">
        <v>123</v>
      </c>
      <c r="D515" s="10">
        <v>46113</v>
      </c>
      <c r="E515" s="8" t="s">
        <v>400</v>
      </c>
      <c r="F515" s="8" t="s">
        <v>15</v>
      </c>
      <c r="G515" s="8">
        <v>1260</v>
      </c>
      <c r="H515" s="8">
        <v>0</v>
      </c>
      <c r="I515" s="8">
        <v>-1260</v>
      </c>
      <c r="J515" s="8">
        <v>0</v>
      </c>
      <c r="K515" s="8" t="s">
        <v>16</v>
      </c>
      <c r="L515" s="8" t="s">
        <v>5</v>
      </c>
      <c r="M515" s="8">
        <v>2026</v>
      </c>
      <c r="N515" s="8">
        <v>4</v>
      </c>
      <c r="O515" s="8"/>
    </row>
    <row r="516" spans="2:15" x14ac:dyDescent="0.25">
      <c r="B516" s="8">
        <v>508</v>
      </c>
      <c r="C516" s="8" t="s">
        <v>123</v>
      </c>
      <c r="D516" s="10">
        <v>46113</v>
      </c>
      <c r="E516" s="8" t="s">
        <v>295</v>
      </c>
      <c r="F516" s="8" t="s">
        <v>25</v>
      </c>
      <c r="G516" s="8">
        <v>120</v>
      </c>
      <c r="H516" s="8">
        <v>0</v>
      </c>
      <c r="I516" s="8">
        <v>-120</v>
      </c>
      <c r="J516" s="8">
        <v>0</v>
      </c>
      <c r="K516" s="8" t="s">
        <v>22</v>
      </c>
      <c r="L516" s="8" t="s">
        <v>5</v>
      </c>
      <c r="M516" s="8">
        <v>2026</v>
      </c>
      <c r="N516" s="8">
        <v>4</v>
      </c>
      <c r="O516" s="8"/>
    </row>
    <row r="517" spans="2:15" x14ac:dyDescent="0.25">
      <c r="B517" s="8">
        <v>509</v>
      </c>
      <c r="C517" s="8" t="s">
        <v>123</v>
      </c>
      <c r="D517" s="10">
        <v>46113</v>
      </c>
      <c r="E517" s="8" t="s">
        <v>401</v>
      </c>
      <c r="F517" s="8" t="s">
        <v>10</v>
      </c>
      <c r="G517" s="8">
        <v>1420</v>
      </c>
      <c r="H517" s="8">
        <v>0</v>
      </c>
      <c r="I517" s="8">
        <v>-1420</v>
      </c>
      <c r="J517" s="8">
        <v>0</v>
      </c>
      <c r="K517" s="8" t="s">
        <v>9</v>
      </c>
      <c r="L517" s="8" t="s">
        <v>5</v>
      </c>
      <c r="M517" s="8">
        <v>2026</v>
      </c>
      <c r="N517" s="8">
        <v>4</v>
      </c>
      <c r="O517" s="8"/>
    </row>
    <row r="518" spans="2:15" x14ac:dyDescent="0.25">
      <c r="B518" s="8">
        <v>510</v>
      </c>
      <c r="C518" s="8" t="s">
        <v>123</v>
      </c>
      <c r="D518" s="10">
        <v>46113</v>
      </c>
      <c r="E518" s="8" t="s">
        <v>292</v>
      </c>
      <c r="F518" s="8" t="s">
        <v>14</v>
      </c>
      <c r="G518" s="8">
        <v>329</v>
      </c>
      <c r="H518" s="8">
        <v>0</v>
      </c>
      <c r="I518" s="8">
        <v>-329</v>
      </c>
      <c r="J518" s="8">
        <v>0</v>
      </c>
      <c r="K518" s="8" t="s">
        <v>13</v>
      </c>
      <c r="L518" s="8" t="s">
        <v>5</v>
      </c>
      <c r="M518" s="8">
        <v>2026</v>
      </c>
      <c r="N518" s="8">
        <v>4</v>
      </c>
      <c r="O518" s="8"/>
    </row>
    <row r="519" spans="2:15" x14ac:dyDescent="0.25">
      <c r="B519" s="8">
        <v>511</v>
      </c>
      <c r="C519" s="8" t="s">
        <v>123</v>
      </c>
      <c r="D519" s="10">
        <v>46113</v>
      </c>
      <c r="E519" s="8" t="s">
        <v>358</v>
      </c>
      <c r="F519" s="8" t="s">
        <v>25</v>
      </c>
      <c r="G519" s="8">
        <v>50</v>
      </c>
      <c r="H519" s="8">
        <v>0</v>
      </c>
      <c r="I519" s="8">
        <v>-50</v>
      </c>
      <c r="J519" s="8">
        <v>0</v>
      </c>
      <c r="K519" s="8" t="s">
        <v>22</v>
      </c>
      <c r="L519" s="8" t="s">
        <v>5</v>
      </c>
      <c r="M519" s="8">
        <v>2026</v>
      </c>
      <c r="N519" s="8">
        <v>4</v>
      </c>
      <c r="O519" s="8"/>
    </row>
    <row r="520" spans="2:15" x14ac:dyDescent="0.25">
      <c r="B520" s="8">
        <v>512</v>
      </c>
      <c r="C520" s="8" t="s">
        <v>123</v>
      </c>
      <c r="D520" s="10">
        <v>46113</v>
      </c>
      <c r="E520" s="8" t="s">
        <v>156</v>
      </c>
      <c r="F520" s="8" t="s">
        <v>10</v>
      </c>
      <c r="G520" s="8">
        <v>460</v>
      </c>
      <c r="H520" s="8">
        <v>0</v>
      </c>
      <c r="I520" s="8">
        <v>-460</v>
      </c>
      <c r="J520" s="8">
        <v>0</v>
      </c>
      <c r="K520" s="8" t="s">
        <v>9</v>
      </c>
      <c r="L520" s="8" t="s">
        <v>5</v>
      </c>
      <c r="M520" s="8">
        <v>2026</v>
      </c>
      <c r="N520" s="8">
        <v>4</v>
      </c>
      <c r="O520" s="8"/>
    </row>
    <row r="521" spans="2:15" x14ac:dyDescent="0.25">
      <c r="B521" s="8">
        <v>513</v>
      </c>
      <c r="C521" s="8" t="s">
        <v>123</v>
      </c>
      <c r="D521" s="10">
        <v>46113</v>
      </c>
      <c r="E521" s="8" t="s">
        <v>243</v>
      </c>
      <c r="F521" s="8" t="s">
        <v>21</v>
      </c>
      <c r="G521" s="8">
        <v>26</v>
      </c>
      <c r="H521" s="8">
        <v>0</v>
      </c>
      <c r="I521" s="8">
        <v>-26</v>
      </c>
      <c r="J521" s="8">
        <v>0</v>
      </c>
      <c r="K521" s="8" t="s">
        <v>22</v>
      </c>
      <c r="L521" s="8" t="s">
        <v>5</v>
      </c>
      <c r="M521" s="8">
        <v>2026</v>
      </c>
      <c r="N521" s="8">
        <v>4</v>
      </c>
      <c r="O521" s="8"/>
    </row>
    <row r="522" spans="2:15" x14ac:dyDescent="0.25">
      <c r="B522" s="8">
        <v>514</v>
      </c>
      <c r="C522" s="8" t="s">
        <v>123</v>
      </c>
      <c r="D522" s="10">
        <v>46113</v>
      </c>
      <c r="E522" s="8" t="s">
        <v>402</v>
      </c>
      <c r="F522" s="8" t="s">
        <v>21</v>
      </c>
      <c r="G522" s="8">
        <v>788</v>
      </c>
      <c r="H522" s="8">
        <v>0</v>
      </c>
      <c r="I522" s="8">
        <v>-788</v>
      </c>
      <c r="J522" s="8">
        <v>0</v>
      </c>
      <c r="K522" s="8" t="s">
        <v>22</v>
      </c>
      <c r="L522" s="8" t="s">
        <v>5</v>
      </c>
      <c r="M522" s="8">
        <v>2026</v>
      </c>
      <c r="N522" s="8">
        <v>4</v>
      </c>
      <c r="O522" s="8"/>
    </row>
    <row r="523" spans="2:15" x14ac:dyDescent="0.25">
      <c r="B523" s="8">
        <v>515</v>
      </c>
      <c r="C523" s="8" t="s">
        <v>123</v>
      </c>
      <c r="D523" s="10">
        <v>46113</v>
      </c>
      <c r="E523" s="8" t="s">
        <v>402</v>
      </c>
      <c r="F523" s="8" t="s">
        <v>21</v>
      </c>
      <c r="G523" s="8">
        <v>1264</v>
      </c>
      <c r="H523" s="8">
        <v>0</v>
      </c>
      <c r="I523" s="8">
        <v>-1264</v>
      </c>
      <c r="J523" s="8">
        <v>0</v>
      </c>
      <c r="K523" s="8" t="s">
        <v>22</v>
      </c>
      <c r="L523" s="8" t="s">
        <v>5</v>
      </c>
      <c r="M523" s="8">
        <v>2026</v>
      </c>
      <c r="N523" s="8">
        <v>4</v>
      </c>
      <c r="O523" s="8"/>
    </row>
    <row r="524" spans="2:15" x14ac:dyDescent="0.25">
      <c r="B524" s="8">
        <v>516</v>
      </c>
      <c r="C524" s="8" t="s">
        <v>123</v>
      </c>
      <c r="D524" s="10">
        <v>46113</v>
      </c>
      <c r="E524" s="8" t="s">
        <v>403</v>
      </c>
      <c r="F524" s="8" t="s">
        <v>218</v>
      </c>
      <c r="G524" s="8">
        <v>659.59</v>
      </c>
      <c r="H524" s="8">
        <v>0</v>
      </c>
      <c r="I524" s="8">
        <v>-659.59</v>
      </c>
      <c r="J524" s="8">
        <v>0</v>
      </c>
      <c r="K524" s="8" t="s">
        <v>19</v>
      </c>
      <c r="L524" s="8" t="s">
        <v>5</v>
      </c>
      <c r="M524" s="8">
        <v>2026</v>
      </c>
      <c r="N524" s="8">
        <v>4</v>
      </c>
      <c r="O524" s="8"/>
    </row>
    <row r="525" spans="2:15" x14ac:dyDescent="0.25">
      <c r="B525" s="8">
        <v>517</v>
      </c>
      <c r="C525" s="8" t="s">
        <v>123</v>
      </c>
      <c r="D525" s="10">
        <v>46113</v>
      </c>
      <c r="E525" s="8" t="s">
        <v>404</v>
      </c>
      <c r="F525" s="8" t="s">
        <v>25</v>
      </c>
      <c r="G525" s="8">
        <v>1099</v>
      </c>
      <c r="H525" s="8">
        <v>0</v>
      </c>
      <c r="I525" s="8">
        <v>-1099</v>
      </c>
      <c r="J525" s="8">
        <v>0</v>
      </c>
      <c r="K525" s="8" t="s">
        <v>22</v>
      </c>
      <c r="L525" s="8" t="s">
        <v>5</v>
      </c>
      <c r="M525" s="8">
        <v>2026</v>
      </c>
      <c r="N525" s="8">
        <v>4</v>
      </c>
      <c r="O525" s="8"/>
    </row>
    <row r="526" spans="2:15" x14ac:dyDescent="0.25">
      <c r="B526" s="8">
        <v>518</v>
      </c>
      <c r="C526" s="8" t="s">
        <v>123</v>
      </c>
      <c r="D526" s="10">
        <v>46113</v>
      </c>
      <c r="E526" s="8" t="s">
        <v>203</v>
      </c>
      <c r="F526" s="8" t="s">
        <v>25</v>
      </c>
      <c r="G526" s="8">
        <v>150</v>
      </c>
      <c r="H526" s="8">
        <v>0</v>
      </c>
      <c r="I526" s="8">
        <v>-150</v>
      </c>
      <c r="J526" s="8">
        <v>0</v>
      </c>
      <c r="K526" s="8" t="s">
        <v>22</v>
      </c>
      <c r="L526" s="8" t="s">
        <v>5</v>
      </c>
      <c r="M526" s="8">
        <v>2026</v>
      </c>
      <c r="N526" s="8">
        <v>4</v>
      </c>
      <c r="O526" s="8"/>
    </row>
    <row r="527" spans="2:15" x14ac:dyDescent="0.25">
      <c r="B527" s="8">
        <v>519</v>
      </c>
      <c r="C527" s="8" t="s">
        <v>123</v>
      </c>
      <c r="D527" s="10">
        <v>46113</v>
      </c>
      <c r="E527" s="8" t="s">
        <v>42</v>
      </c>
      <c r="F527" s="8" t="s">
        <v>86</v>
      </c>
      <c r="G527" s="8">
        <v>0</v>
      </c>
      <c r="H527" s="8">
        <v>48500</v>
      </c>
      <c r="I527" s="8">
        <v>48500</v>
      </c>
      <c r="J527" s="8">
        <v>0</v>
      </c>
      <c r="K527" s="8" t="s">
        <v>43</v>
      </c>
      <c r="L527" s="8" t="s">
        <v>44</v>
      </c>
      <c r="M527" s="8">
        <v>2026</v>
      </c>
      <c r="N527" s="8">
        <v>4</v>
      </c>
      <c r="O527" s="8"/>
    </row>
    <row r="528" spans="2:15" x14ac:dyDescent="0.25">
      <c r="B528" s="8">
        <v>520</v>
      </c>
      <c r="C528" s="8" t="s">
        <v>123</v>
      </c>
      <c r="D528" s="10">
        <v>46113</v>
      </c>
      <c r="E528" s="8" t="s">
        <v>405</v>
      </c>
      <c r="F528" s="8" t="s">
        <v>45</v>
      </c>
      <c r="G528" s="8">
        <v>0</v>
      </c>
      <c r="H528" s="8">
        <v>2000</v>
      </c>
      <c r="I528" s="8">
        <v>2000</v>
      </c>
      <c r="J528" s="8">
        <v>0</v>
      </c>
      <c r="K528" s="8" t="s">
        <v>46</v>
      </c>
      <c r="L528" s="8" t="s">
        <v>44</v>
      </c>
      <c r="M528" s="8">
        <v>2026</v>
      </c>
      <c r="N528" s="8">
        <v>4</v>
      </c>
      <c r="O528" s="8"/>
    </row>
    <row r="529" spans="2:15" x14ac:dyDescent="0.25">
      <c r="B529" s="8">
        <v>521</v>
      </c>
      <c r="C529" s="8" t="s">
        <v>123</v>
      </c>
      <c r="D529" s="10">
        <v>46113</v>
      </c>
      <c r="E529" s="8" t="s">
        <v>406</v>
      </c>
      <c r="F529" s="8" t="s">
        <v>410</v>
      </c>
      <c r="G529" s="8">
        <v>0</v>
      </c>
      <c r="H529" s="8">
        <v>10000</v>
      </c>
      <c r="I529" s="8">
        <v>10000</v>
      </c>
      <c r="J529" s="8">
        <v>0</v>
      </c>
      <c r="K529" s="8" t="s">
        <v>417</v>
      </c>
      <c r="L529" s="8" t="s">
        <v>44</v>
      </c>
      <c r="M529" s="8">
        <v>2026</v>
      </c>
      <c r="N529" s="8">
        <v>4</v>
      </c>
      <c r="O529" s="8"/>
    </row>
    <row r="530" spans="2:15" x14ac:dyDescent="0.25">
      <c r="B530" s="8">
        <v>522</v>
      </c>
      <c r="C530" s="8" t="s">
        <v>123</v>
      </c>
      <c r="D530" s="10">
        <v>46113</v>
      </c>
      <c r="E530" s="8" t="s">
        <v>124</v>
      </c>
      <c r="F530" s="8" t="s">
        <v>36</v>
      </c>
      <c r="G530" s="8">
        <v>7000</v>
      </c>
      <c r="H530" s="8">
        <v>0</v>
      </c>
      <c r="I530" s="8">
        <v>-7000</v>
      </c>
      <c r="J530" s="8">
        <v>0</v>
      </c>
      <c r="K530" s="8" t="s">
        <v>34</v>
      </c>
      <c r="L530" s="8" t="s">
        <v>35</v>
      </c>
      <c r="M530" s="8">
        <v>2026</v>
      </c>
      <c r="N530" s="8">
        <v>4</v>
      </c>
      <c r="O530" s="8"/>
    </row>
    <row r="531" spans="2:15" x14ac:dyDescent="0.25">
      <c r="B531" s="8">
        <v>523</v>
      </c>
      <c r="C531" s="8" t="s">
        <v>123</v>
      </c>
      <c r="D531" s="10">
        <v>46113</v>
      </c>
      <c r="E531" s="8" t="s">
        <v>407</v>
      </c>
      <c r="F531" s="8" t="s">
        <v>15</v>
      </c>
      <c r="G531" s="8">
        <v>1000</v>
      </c>
      <c r="H531" s="8">
        <v>0</v>
      </c>
      <c r="I531" s="8">
        <v>-1000</v>
      </c>
      <c r="J531" s="8">
        <v>0</v>
      </c>
      <c r="K531" s="8" t="s">
        <v>16</v>
      </c>
      <c r="L531" s="8" t="s">
        <v>5</v>
      </c>
      <c r="M531" s="8">
        <v>2026</v>
      </c>
      <c r="N531" s="8">
        <v>4</v>
      </c>
      <c r="O531" s="8"/>
    </row>
    <row r="532" spans="2:15" x14ac:dyDescent="0.25">
      <c r="B532" s="8">
        <v>524</v>
      </c>
      <c r="C532" s="8" t="s">
        <v>123</v>
      </c>
      <c r="D532" s="10">
        <v>46113</v>
      </c>
      <c r="E532" s="8" t="s">
        <v>217</v>
      </c>
      <c r="F532" s="8" t="s">
        <v>45</v>
      </c>
      <c r="G532" s="8">
        <v>0</v>
      </c>
      <c r="H532" s="8">
        <v>500</v>
      </c>
      <c r="I532" s="8">
        <v>500</v>
      </c>
      <c r="J532" s="8">
        <v>0</v>
      </c>
      <c r="K532" s="8" t="s">
        <v>46</v>
      </c>
      <c r="L532" s="8" t="s">
        <v>44</v>
      </c>
      <c r="M532" s="8">
        <v>2026</v>
      </c>
      <c r="N532" s="8">
        <v>4</v>
      </c>
      <c r="O532" s="8"/>
    </row>
    <row r="533" spans="2:15" x14ac:dyDescent="0.25">
      <c r="B533" s="8">
        <v>525</v>
      </c>
      <c r="C533" s="8" t="s">
        <v>123</v>
      </c>
      <c r="D533" s="10">
        <v>46113</v>
      </c>
      <c r="E533" s="8" t="s">
        <v>339</v>
      </c>
      <c r="F533" s="8" t="s">
        <v>36</v>
      </c>
      <c r="G533" s="8">
        <v>500</v>
      </c>
      <c r="H533" s="8">
        <v>0</v>
      </c>
      <c r="I533" s="8">
        <v>-500</v>
      </c>
      <c r="J533" s="8">
        <v>0</v>
      </c>
      <c r="K533" s="8" t="s">
        <v>34</v>
      </c>
      <c r="L533" s="8" t="s">
        <v>35</v>
      </c>
      <c r="M533" s="8">
        <v>2026</v>
      </c>
      <c r="N533" s="8">
        <v>4</v>
      </c>
      <c r="O533" s="8"/>
    </row>
    <row r="534" spans="2:15" x14ac:dyDescent="0.25">
      <c r="B534" s="8">
        <v>526</v>
      </c>
      <c r="C534" s="8" t="s">
        <v>122</v>
      </c>
      <c r="D534" s="10">
        <v>46114</v>
      </c>
      <c r="E534" s="8" t="s">
        <v>414</v>
      </c>
      <c r="F534" s="8" t="s">
        <v>410</v>
      </c>
      <c r="G534" s="8">
        <v>0</v>
      </c>
      <c r="H534" s="8">
        <v>2614</v>
      </c>
      <c r="I534" s="8">
        <v>2614</v>
      </c>
      <c r="J534" s="8">
        <v>0</v>
      </c>
      <c r="K534" s="8" t="s">
        <v>417</v>
      </c>
      <c r="L534" s="8" t="s">
        <v>44</v>
      </c>
      <c r="M534" s="8">
        <v>2026</v>
      </c>
      <c r="N534" s="8">
        <v>4</v>
      </c>
      <c r="O534" s="8"/>
    </row>
    <row r="535" spans="2:15" x14ac:dyDescent="0.25">
      <c r="B535" s="8">
        <v>527</v>
      </c>
      <c r="C535" s="8" t="s">
        <v>123</v>
      </c>
      <c r="D535" s="10">
        <v>46114</v>
      </c>
      <c r="E535" s="8" t="s">
        <v>416</v>
      </c>
      <c r="F535" s="8" t="s">
        <v>419</v>
      </c>
      <c r="G535" s="8">
        <v>0</v>
      </c>
      <c r="H535" s="8">
        <v>5000</v>
      </c>
      <c r="I535" s="8">
        <v>5000</v>
      </c>
      <c r="J535" s="8">
        <v>0</v>
      </c>
      <c r="K535" s="8" t="s">
        <v>417</v>
      </c>
      <c r="L535" s="8" t="s">
        <v>44</v>
      </c>
      <c r="M535" s="8">
        <v>2026</v>
      </c>
      <c r="N535" s="8">
        <v>4</v>
      </c>
      <c r="O535" s="8"/>
    </row>
    <row r="536" spans="2:15" x14ac:dyDescent="0.25">
      <c r="B536" s="8">
        <v>528</v>
      </c>
      <c r="C536" s="8" t="s">
        <v>122</v>
      </c>
      <c r="D536" s="10">
        <v>46115</v>
      </c>
      <c r="E536" s="8" t="s">
        <v>243</v>
      </c>
      <c r="F536" s="8" t="s">
        <v>21</v>
      </c>
      <c r="G536" s="8">
        <v>27</v>
      </c>
      <c r="H536" s="8">
        <v>0</v>
      </c>
      <c r="I536" s="8">
        <v>-27</v>
      </c>
      <c r="J536" s="8">
        <v>0</v>
      </c>
      <c r="K536" s="8" t="s">
        <v>22</v>
      </c>
      <c r="L536" s="8" t="s">
        <v>5</v>
      </c>
      <c r="M536" s="8">
        <v>2026</v>
      </c>
      <c r="N536" s="8">
        <v>4</v>
      </c>
      <c r="O536" s="8"/>
    </row>
    <row r="537" spans="2:15" x14ac:dyDescent="0.25">
      <c r="B537" s="8">
        <v>529</v>
      </c>
      <c r="C537" s="8" t="s">
        <v>122</v>
      </c>
      <c r="D537" s="10">
        <v>46115</v>
      </c>
      <c r="E537" s="8" t="s">
        <v>433</v>
      </c>
      <c r="F537" s="8" t="s">
        <v>10</v>
      </c>
      <c r="G537" s="8">
        <v>776</v>
      </c>
      <c r="H537" s="8">
        <v>0</v>
      </c>
      <c r="I537" s="8">
        <v>-776</v>
      </c>
      <c r="J537" s="8">
        <v>0</v>
      </c>
      <c r="K537" s="8" t="s">
        <v>9</v>
      </c>
      <c r="L537" s="8" t="s">
        <v>5</v>
      </c>
      <c r="M537" s="8">
        <v>2026</v>
      </c>
      <c r="N537" s="8">
        <v>4</v>
      </c>
      <c r="O537" s="8"/>
    </row>
    <row r="538" spans="2:15" x14ac:dyDescent="0.25">
      <c r="B538" s="8">
        <v>530</v>
      </c>
      <c r="C538" s="8" t="s">
        <v>122</v>
      </c>
      <c r="D538" s="10">
        <v>46116</v>
      </c>
      <c r="E538" s="8" t="s">
        <v>428</v>
      </c>
      <c r="F538" s="8" t="s">
        <v>408</v>
      </c>
      <c r="G538" s="8">
        <v>2614</v>
      </c>
      <c r="H538" s="8">
        <v>0</v>
      </c>
      <c r="I538" s="8">
        <v>-2614</v>
      </c>
      <c r="J538" s="8">
        <v>0</v>
      </c>
      <c r="K538" s="8" t="s">
        <v>418</v>
      </c>
      <c r="L538" s="8" t="s">
        <v>5</v>
      </c>
      <c r="M538" s="8">
        <v>2026</v>
      </c>
      <c r="N538" s="8">
        <v>4</v>
      </c>
      <c r="O538" s="8"/>
    </row>
    <row r="539" spans="2:15" x14ac:dyDescent="0.25">
      <c r="B539" s="8">
        <v>531</v>
      </c>
      <c r="C539" s="8" t="s">
        <v>122</v>
      </c>
      <c r="D539" s="10">
        <v>46116</v>
      </c>
      <c r="E539" s="8" t="s">
        <v>397</v>
      </c>
      <c r="F539" s="8" t="s">
        <v>27</v>
      </c>
      <c r="G539" s="8">
        <v>2500</v>
      </c>
      <c r="H539" s="8">
        <v>0</v>
      </c>
      <c r="I539" s="8">
        <v>-2500</v>
      </c>
      <c r="J539" s="8">
        <v>0</v>
      </c>
      <c r="K539" s="8" t="s">
        <v>28</v>
      </c>
      <c r="L539" s="8" t="s">
        <v>5</v>
      </c>
      <c r="M539" s="8">
        <v>2026</v>
      </c>
      <c r="N539" s="8">
        <v>4</v>
      </c>
      <c r="O539" s="8"/>
    </row>
    <row r="540" spans="2:15" x14ac:dyDescent="0.25">
      <c r="B540" s="8">
        <v>532</v>
      </c>
      <c r="C540" s="8" t="s">
        <v>122</v>
      </c>
      <c r="D540" s="10">
        <v>46116</v>
      </c>
      <c r="E540" s="8" t="s">
        <v>243</v>
      </c>
      <c r="F540" s="8" t="s">
        <v>21</v>
      </c>
      <c r="G540" s="8">
        <v>14</v>
      </c>
      <c r="H540" s="8">
        <v>0</v>
      </c>
      <c r="I540" s="8">
        <v>-14</v>
      </c>
      <c r="J540" s="8">
        <v>0</v>
      </c>
      <c r="K540" s="8" t="s">
        <v>22</v>
      </c>
      <c r="L540" s="8" t="s">
        <v>5</v>
      </c>
      <c r="M540" s="8">
        <v>2026</v>
      </c>
      <c r="N540" s="8">
        <v>4</v>
      </c>
      <c r="O540" s="8"/>
    </row>
    <row r="541" spans="2:15" x14ac:dyDescent="0.25">
      <c r="B541" s="8">
        <v>533</v>
      </c>
      <c r="C541" s="8" t="s">
        <v>123</v>
      </c>
      <c r="D541" s="10">
        <v>46116</v>
      </c>
      <c r="E541" s="8" t="s">
        <v>361</v>
      </c>
      <c r="F541" s="8" t="s">
        <v>21</v>
      </c>
      <c r="G541" s="8">
        <v>1339.5</v>
      </c>
      <c r="H541" s="8">
        <v>0</v>
      </c>
      <c r="I541" s="8">
        <v>-1339.5</v>
      </c>
      <c r="J541" s="8">
        <v>0</v>
      </c>
      <c r="K541" s="8" t="s">
        <v>22</v>
      </c>
      <c r="L541" s="8" t="s">
        <v>5</v>
      </c>
      <c r="M541" s="8">
        <v>2026</v>
      </c>
      <c r="N541" s="8">
        <v>4</v>
      </c>
      <c r="O541" s="8"/>
    </row>
    <row r="542" spans="2:15" x14ac:dyDescent="0.25">
      <c r="B542" s="8">
        <v>534</v>
      </c>
      <c r="C542" s="8" t="s">
        <v>123</v>
      </c>
      <c r="D542" s="10">
        <v>46116</v>
      </c>
      <c r="E542" s="8" t="s">
        <v>277</v>
      </c>
      <c r="F542" s="8" t="s">
        <v>25</v>
      </c>
      <c r="G542" s="8">
        <v>270</v>
      </c>
      <c r="H542" s="8">
        <v>0</v>
      </c>
      <c r="I542" s="8">
        <v>-270</v>
      </c>
      <c r="J542" s="8">
        <v>0</v>
      </c>
      <c r="K542" s="8" t="s">
        <v>22</v>
      </c>
      <c r="L542" s="8" t="s">
        <v>5</v>
      </c>
      <c r="M542" s="8">
        <v>2026</v>
      </c>
      <c r="N542" s="8">
        <v>4</v>
      </c>
      <c r="O542" s="8"/>
    </row>
    <row r="543" spans="2:15" x14ac:dyDescent="0.25">
      <c r="B543" s="8">
        <v>535</v>
      </c>
      <c r="C543" s="8" t="s">
        <v>123</v>
      </c>
      <c r="D543" s="10">
        <v>46116</v>
      </c>
      <c r="E543" s="8" t="s">
        <v>320</v>
      </c>
      <c r="F543" s="8" t="s">
        <v>25</v>
      </c>
      <c r="G543" s="8">
        <v>200</v>
      </c>
      <c r="H543" s="8">
        <v>0</v>
      </c>
      <c r="I543" s="8">
        <v>-200</v>
      </c>
      <c r="J543" s="8">
        <v>0</v>
      </c>
      <c r="K543" s="8" t="s">
        <v>22</v>
      </c>
      <c r="L543" s="8" t="s">
        <v>5</v>
      </c>
      <c r="M543" s="8">
        <v>2026</v>
      </c>
      <c r="N543" s="8">
        <v>4</v>
      </c>
      <c r="O543" s="8"/>
    </row>
    <row r="544" spans="2:15" x14ac:dyDescent="0.25">
      <c r="B544" s="8">
        <v>536</v>
      </c>
      <c r="C544" s="8" t="s">
        <v>122</v>
      </c>
      <c r="D544" s="10">
        <v>46117</v>
      </c>
      <c r="E544" s="8" t="s">
        <v>429</v>
      </c>
      <c r="F544" s="8" t="s">
        <v>24</v>
      </c>
      <c r="G544" s="8">
        <v>550</v>
      </c>
      <c r="H544" s="8">
        <v>0</v>
      </c>
      <c r="I544" s="8">
        <v>-550</v>
      </c>
      <c r="J544" s="8">
        <v>0</v>
      </c>
      <c r="K544" s="8" t="s">
        <v>22</v>
      </c>
      <c r="L544" s="8" t="s">
        <v>5</v>
      </c>
      <c r="M544" s="8">
        <v>2026</v>
      </c>
      <c r="N544" s="8">
        <v>4</v>
      </c>
      <c r="O544" s="8"/>
    </row>
    <row r="545" spans="2:15" x14ac:dyDescent="0.25">
      <c r="B545" s="8">
        <v>537</v>
      </c>
      <c r="C545" s="8" t="s">
        <v>122</v>
      </c>
      <c r="D545" s="10">
        <v>46117</v>
      </c>
      <c r="E545" s="8" t="s">
        <v>430</v>
      </c>
      <c r="F545" s="8" t="s">
        <v>26</v>
      </c>
      <c r="G545" s="8">
        <v>578</v>
      </c>
      <c r="H545" s="8">
        <v>0</v>
      </c>
      <c r="I545" s="8">
        <v>-578</v>
      </c>
      <c r="J545" s="8">
        <v>0</v>
      </c>
      <c r="K545" s="8" t="s">
        <v>22</v>
      </c>
      <c r="L545" s="8" t="s">
        <v>5</v>
      </c>
      <c r="M545" s="8">
        <v>2026</v>
      </c>
      <c r="N545" s="8">
        <v>4</v>
      </c>
      <c r="O545" s="8"/>
    </row>
    <row r="546" spans="2:15" x14ac:dyDescent="0.25">
      <c r="B546" s="8">
        <v>538</v>
      </c>
      <c r="C546" s="8" t="s">
        <v>122</v>
      </c>
      <c r="D546" s="10">
        <v>46117</v>
      </c>
      <c r="E546" s="8" t="s">
        <v>128</v>
      </c>
      <c r="F546" s="8" t="s">
        <v>25</v>
      </c>
      <c r="G546" s="8">
        <v>40</v>
      </c>
      <c r="H546" s="8">
        <v>0</v>
      </c>
      <c r="I546" s="8">
        <v>-40</v>
      </c>
      <c r="J546" s="8">
        <v>0</v>
      </c>
      <c r="K546" s="8" t="s">
        <v>22</v>
      </c>
      <c r="L546" s="8" t="s">
        <v>5</v>
      </c>
      <c r="M546" s="8">
        <v>2026</v>
      </c>
      <c r="N546" s="8">
        <v>4</v>
      </c>
      <c r="O546" s="8"/>
    </row>
    <row r="547" spans="2:15" x14ac:dyDescent="0.25">
      <c r="B547" s="8">
        <v>539</v>
      </c>
      <c r="C547" s="8" t="s">
        <v>122</v>
      </c>
      <c r="D547" s="10">
        <v>46117</v>
      </c>
      <c r="E547" s="8" t="s">
        <v>147</v>
      </c>
      <c r="F547" s="8" t="s">
        <v>25</v>
      </c>
      <c r="G547" s="8">
        <v>45</v>
      </c>
      <c r="H547" s="8">
        <v>0</v>
      </c>
      <c r="I547" s="8">
        <v>-45</v>
      </c>
      <c r="J547" s="8">
        <v>0</v>
      </c>
      <c r="K547" s="8" t="s">
        <v>22</v>
      </c>
      <c r="L547" s="8" t="s">
        <v>5</v>
      </c>
      <c r="M547" s="8">
        <v>2026</v>
      </c>
      <c r="N547" s="8">
        <v>4</v>
      </c>
      <c r="O547" s="8"/>
    </row>
    <row r="548" spans="2:15" x14ac:dyDescent="0.25">
      <c r="B548" s="8">
        <v>540</v>
      </c>
      <c r="C548" s="8" t="s">
        <v>122</v>
      </c>
      <c r="D548" s="10">
        <v>46117</v>
      </c>
      <c r="E548" s="8" t="s">
        <v>171</v>
      </c>
      <c r="F548" s="8" t="s">
        <v>21</v>
      </c>
      <c r="G548" s="8">
        <v>450</v>
      </c>
      <c r="H548" s="8">
        <v>0</v>
      </c>
      <c r="I548" s="8">
        <v>-450</v>
      </c>
      <c r="J548" s="8">
        <v>0</v>
      </c>
      <c r="K548" s="8" t="s">
        <v>22</v>
      </c>
      <c r="L548" s="8" t="s">
        <v>5</v>
      </c>
      <c r="M548" s="8">
        <v>2026</v>
      </c>
      <c r="N548" s="8">
        <v>4</v>
      </c>
      <c r="O548" s="8"/>
    </row>
    <row r="549" spans="2:15" x14ac:dyDescent="0.25">
      <c r="B549" s="8">
        <v>541</v>
      </c>
      <c r="C549" s="8" t="s">
        <v>123</v>
      </c>
      <c r="D549" s="10">
        <v>46117</v>
      </c>
      <c r="E549" s="8" t="s">
        <v>260</v>
      </c>
      <c r="F549" s="8" t="s">
        <v>26</v>
      </c>
      <c r="G549" s="8">
        <v>50</v>
      </c>
      <c r="H549" s="8">
        <v>0</v>
      </c>
      <c r="I549" s="8">
        <v>-50</v>
      </c>
      <c r="J549" s="8">
        <v>0</v>
      </c>
      <c r="K549" s="8" t="s">
        <v>22</v>
      </c>
      <c r="L549" s="8" t="s">
        <v>5</v>
      </c>
      <c r="M549" s="8">
        <v>2026</v>
      </c>
      <c r="N549" s="8">
        <v>4</v>
      </c>
      <c r="O549" s="8"/>
    </row>
    <row r="550" spans="2:15" x14ac:dyDescent="0.25">
      <c r="B550" s="8">
        <v>542</v>
      </c>
      <c r="C550" s="8" t="s">
        <v>122</v>
      </c>
      <c r="D550" s="10">
        <v>46118</v>
      </c>
      <c r="E550" s="8" t="s">
        <v>243</v>
      </c>
      <c r="F550" s="8" t="s">
        <v>21</v>
      </c>
      <c r="G550" s="8">
        <v>55</v>
      </c>
      <c r="H550" s="8">
        <v>0</v>
      </c>
      <c r="I550" s="8">
        <v>-55</v>
      </c>
      <c r="J550" s="8">
        <v>0</v>
      </c>
      <c r="K550" s="8" t="s">
        <v>22</v>
      </c>
      <c r="L550" s="8" t="s">
        <v>5</v>
      </c>
      <c r="M550" s="8">
        <v>2026</v>
      </c>
      <c r="N550" s="8">
        <v>4</v>
      </c>
      <c r="O550" s="8"/>
    </row>
    <row r="551" spans="2:15" x14ac:dyDescent="0.25">
      <c r="B551" s="8">
        <v>543</v>
      </c>
      <c r="C551" s="8" t="s">
        <v>123</v>
      </c>
      <c r="D551" s="10">
        <v>46118</v>
      </c>
      <c r="E551" s="8" t="s">
        <v>424</v>
      </c>
      <c r="F551" s="8" t="s">
        <v>6</v>
      </c>
      <c r="G551" s="8">
        <v>167</v>
      </c>
      <c r="H551" s="8">
        <v>0</v>
      </c>
      <c r="I551" s="8">
        <v>-167</v>
      </c>
      <c r="J551" s="8">
        <v>0</v>
      </c>
      <c r="K551" s="8" t="s">
        <v>4</v>
      </c>
      <c r="L551" s="8" t="s">
        <v>5</v>
      </c>
      <c r="M551" s="8">
        <v>2026</v>
      </c>
      <c r="N551" s="8">
        <v>4</v>
      </c>
      <c r="O551" s="8"/>
    </row>
    <row r="552" spans="2:15" x14ac:dyDescent="0.25">
      <c r="B552" s="8">
        <v>544</v>
      </c>
      <c r="C552" s="8" t="s">
        <v>122</v>
      </c>
      <c r="D552" s="10">
        <v>46119</v>
      </c>
      <c r="E552" s="8" t="s">
        <v>144</v>
      </c>
      <c r="F552" s="8" t="s">
        <v>21</v>
      </c>
      <c r="G552" s="8">
        <v>100</v>
      </c>
      <c r="H552" s="8">
        <v>0</v>
      </c>
      <c r="I552" s="8">
        <v>-100</v>
      </c>
      <c r="J552" s="8">
        <v>0</v>
      </c>
      <c r="K552" s="8" t="s">
        <v>22</v>
      </c>
      <c r="L552" s="8" t="s">
        <v>5</v>
      </c>
      <c r="M552" s="8">
        <v>2026</v>
      </c>
      <c r="N552" s="8">
        <v>4</v>
      </c>
      <c r="O552" s="8"/>
    </row>
    <row r="553" spans="2:15" x14ac:dyDescent="0.25">
      <c r="B553" s="8">
        <v>545</v>
      </c>
      <c r="C553" s="8" t="s">
        <v>123</v>
      </c>
      <c r="D553" s="10">
        <v>46119</v>
      </c>
      <c r="E553" s="8" t="s">
        <v>425</v>
      </c>
      <c r="F553" s="8" t="s">
        <v>15</v>
      </c>
      <c r="G553" s="8">
        <v>306</v>
      </c>
      <c r="H553" s="8">
        <v>0</v>
      </c>
      <c r="I553" s="8">
        <v>-306</v>
      </c>
      <c r="J553" s="8">
        <v>0</v>
      </c>
      <c r="K553" s="8" t="s">
        <v>16</v>
      </c>
      <c r="L553" s="8" t="s">
        <v>5</v>
      </c>
      <c r="M553" s="8">
        <v>2026</v>
      </c>
      <c r="N553" s="8">
        <v>4</v>
      </c>
      <c r="O553" s="8"/>
    </row>
    <row r="554" spans="2:15" x14ac:dyDescent="0.25">
      <c r="B554" s="8">
        <v>546</v>
      </c>
      <c r="C554" s="8" t="s">
        <v>122</v>
      </c>
      <c r="D554" s="10">
        <v>46120</v>
      </c>
      <c r="E554" s="8" t="s">
        <v>243</v>
      </c>
      <c r="F554" s="8" t="s">
        <v>21</v>
      </c>
      <c r="G554" s="8">
        <v>37</v>
      </c>
      <c r="H554" s="8">
        <v>0</v>
      </c>
      <c r="I554" s="8">
        <v>-37</v>
      </c>
      <c r="J554" s="8">
        <v>0</v>
      </c>
      <c r="K554" s="8" t="s">
        <v>22</v>
      </c>
      <c r="L554" s="8" t="s">
        <v>5</v>
      </c>
      <c r="M554" s="8">
        <v>2026</v>
      </c>
      <c r="N554" s="8">
        <v>4</v>
      </c>
      <c r="O554" s="8"/>
    </row>
    <row r="555" spans="2:15" x14ac:dyDescent="0.25">
      <c r="B555" s="8">
        <v>547</v>
      </c>
      <c r="C555" s="8" t="s">
        <v>122</v>
      </c>
      <c r="D555" s="10">
        <v>46120</v>
      </c>
      <c r="E555" s="8" t="s">
        <v>431</v>
      </c>
      <c r="F555" s="8" t="s">
        <v>84</v>
      </c>
      <c r="G555" s="8">
        <v>5093</v>
      </c>
      <c r="H555" s="8">
        <v>0</v>
      </c>
      <c r="I555" s="8">
        <v>-5093</v>
      </c>
      <c r="J555" s="8">
        <v>0</v>
      </c>
      <c r="K555" s="8" t="s">
        <v>38</v>
      </c>
      <c r="L555" s="8" t="s">
        <v>5</v>
      </c>
      <c r="M555" s="8">
        <v>2026</v>
      </c>
      <c r="N555" s="8">
        <v>4</v>
      </c>
      <c r="O555" s="8"/>
    </row>
    <row r="556" spans="2:15" x14ac:dyDescent="0.25">
      <c r="B556" s="8">
        <v>548</v>
      </c>
      <c r="C556" s="8" t="s">
        <v>122</v>
      </c>
      <c r="D556" s="10">
        <v>46120</v>
      </c>
      <c r="E556" s="8" t="s">
        <v>432</v>
      </c>
      <c r="F556" s="8" t="s">
        <v>15</v>
      </c>
      <c r="G556" s="8">
        <v>499</v>
      </c>
      <c r="H556" s="8">
        <v>0</v>
      </c>
      <c r="I556" s="8">
        <v>-499</v>
      </c>
      <c r="J556" s="8">
        <v>0</v>
      </c>
      <c r="K556" s="8" t="s">
        <v>16</v>
      </c>
      <c r="L556" s="8" t="s">
        <v>5</v>
      </c>
      <c r="M556" s="8">
        <v>2026</v>
      </c>
      <c r="N556" s="8">
        <v>4</v>
      </c>
      <c r="O556" s="8"/>
    </row>
    <row r="557" spans="2:15" x14ac:dyDescent="0.25">
      <c r="B557" s="8">
        <v>549</v>
      </c>
      <c r="C557" s="8" t="s">
        <v>123</v>
      </c>
      <c r="D557" s="10">
        <v>46120</v>
      </c>
      <c r="E557" s="8" t="s">
        <v>426</v>
      </c>
      <c r="F557" s="8" t="s">
        <v>419</v>
      </c>
      <c r="G557" s="8">
        <v>0</v>
      </c>
      <c r="H557" s="8">
        <v>5000</v>
      </c>
      <c r="I557" s="8">
        <v>5000</v>
      </c>
      <c r="J557" s="8">
        <v>0</v>
      </c>
      <c r="K557" s="8" t="s">
        <v>417</v>
      </c>
      <c r="L557" s="8" t="s">
        <v>44</v>
      </c>
      <c r="M557" s="8">
        <v>2026</v>
      </c>
      <c r="N557" s="8">
        <v>4</v>
      </c>
      <c r="O557" s="8"/>
    </row>
    <row r="558" spans="2:15" x14ac:dyDescent="0.25">
      <c r="B558" s="8">
        <v>550</v>
      </c>
      <c r="C558" s="8" t="s">
        <v>123</v>
      </c>
      <c r="D558" s="10">
        <v>46120</v>
      </c>
      <c r="E558" s="8" t="s">
        <v>402</v>
      </c>
      <c r="F558" s="8" t="s">
        <v>21</v>
      </c>
      <c r="G558" s="8">
        <v>427</v>
      </c>
      <c r="H558" s="8">
        <v>0</v>
      </c>
      <c r="I558" s="8">
        <v>-427</v>
      </c>
      <c r="J558" s="8">
        <v>0</v>
      </c>
      <c r="K558" s="8" t="s">
        <v>22</v>
      </c>
      <c r="L558" s="8" t="s">
        <v>5</v>
      </c>
      <c r="M558" s="8">
        <v>2026</v>
      </c>
      <c r="N558" s="8">
        <v>4</v>
      </c>
      <c r="O558" s="8"/>
    </row>
    <row r="559" spans="2:15" x14ac:dyDescent="0.25">
      <c r="B559" s="8">
        <v>551</v>
      </c>
      <c r="C559" s="8" t="s">
        <v>123</v>
      </c>
      <c r="D559" s="10">
        <v>46120</v>
      </c>
      <c r="E559" s="8" t="s">
        <v>427</v>
      </c>
      <c r="F559" s="8" t="s">
        <v>86</v>
      </c>
      <c r="G559" s="8">
        <v>0</v>
      </c>
      <c r="H559" s="8">
        <v>1096</v>
      </c>
      <c r="I559" s="8">
        <v>1096</v>
      </c>
      <c r="J559" s="8">
        <v>0</v>
      </c>
      <c r="K559" s="8" t="s">
        <v>43</v>
      </c>
      <c r="L559" s="8" t="s">
        <v>44</v>
      </c>
      <c r="M559" s="8">
        <v>2026</v>
      </c>
      <c r="N559" s="8">
        <v>4</v>
      </c>
      <c r="O559" s="8"/>
    </row>
    <row r="560" spans="2:15" x14ac:dyDescent="0.25">
      <c r="B560" s="8">
        <v>552</v>
      </c>
      <c r="C560" s="8" t="s">
        <v>122</v>
      </c>
      <c r="D560" s="10">
        <v>46121</v>
      </c>
      <c r="E560" s="8" t="s">
        <v>243</v>
      </c>
      <c r="F560" s="8" t="s">
        <v>25</v>
      </c>
      <c r="G560" s="8">
        <v>55</v>
      </c>
      <c r="H560" s="8">
        <v>0</v>
      </c>
      <c r="I560" s="8">
        <v>-55</v>
      </c>
      <c r="J560" s="8">
        <v>0</v>
      </c>
      <c r="K560" s="8" t="s">
        <v>22</v>
      </c>
      <c r="L560" s="8" t="s">
        <v>5</v>
      </c>
      <c r="M560" s="8">
        <v>2026</v>
      </c>
      <c r="N560" s="8">
        <v>4</v>
      </c>
      <c r="O560" s="8"/>
    </row>
    <row r="561" spans="2:15" x14ac:dyDescent="0.25">
      <c r="B561" s="8">
        <v>553</v>
      </c>
      <c r="C561" s="8" t="s">
        <v>122</v>
      </c>
      <c r="D561" s="10">
        <v>46122</v>
      </c>
      <c r="E561" s="8" t="s">
        <v>434</v>
      </c>
      <c r="F561" s="8" t="s">
        <v>21</v>
      </c>
      <c r="G561" s="8">
        <v>55</v>
      </c>
      <c r="H561" s="8">
        <v>0</v>
      </c>
      <c r="I561" s="8">
        <v>-55</v>
      </c>
      <c r="J561" s="8">
        <v>0</v>
      </c>
      <c r="K561" s="8" t="s">
        <v>22</v>
      </c>
      <c r="L561" s="8" t="s">
        <v>5</v>
      </c>
      <c r="M561" s="8">
        <v>2026</v>
      </c>
      <c r="N561" s="8">
        <v>4</v>
      </c>
      <c r="O561" s="8"/>
    </row>
    <row r="562" spans="2:15" x14ac:dyDescent="0.25">
      <c r="B562" s="8">
        <v>554</v>
      </c>
      <c r="C562" s="8" t="s">
        <v>122</v>
      </c>
      <c r="D562" s="10">
        <v>46122</v>
      </c>
      <c r="E562" s="8" t="s">
        <v>381</v>
      </c>
      <c r="F562" s="8" t="s">
        <v>21</v>
      </c>
      <c r="G562" s="8">
        <v>58</v>
      </c>
      <c r="H562" s="8">
        <v>0</v>
      </c>
      <c r="I562" s="8">
        <v>-58</v>
      </c>
      <c r="J562" s="8">
        <v>0</v>
      </c>
      <c r="K562" s="8" t="s">
        <v>22</v>
      </c>
      <c r="L562" s="8" t="s">
        <v>5</v>
      </c>
      <c r="M562" s="8">
        <v>2026</v>
      </c>
      <c r="N562" s="8">
        <v>4</v>
      </c>
      <c r="O562" s="8"/>
    </row>
    <row r="563" spans="2:15" x14ac:dyDescent="0.25">
      <c r="B563" s="8">
        <v>555</v>
      </c>
      <c r="C563" s="8" t="s">
        <v>122</v>
      </c>
      <c r="D563" s="10">
        <v>46122</v>
      </c>
      <c r="E563" s="8" t="s">
        <v>25</v>
      </c>
      <c r="F563" s="8" t="s">
        <v>25</v>
      </c>
      <c r="G563" s="8">
        <v>440</v>
      </c>
      <c r="H563" s="8">
        <v>0</v>
      </c>
      <c r="I563" s="8">
        <v>-440</v>
      </c>
      <c r="J563" s="8">
        <v>0</v>
      </c>
      <c r="K563" s="8" t="s">
        <v>22</v>
      </c>
      <c r="L563" s="8" t="s">
        <v>5</v>
      </c>
      <c r="M563" s="8">
        <v>2026</v>
      </c>
      <c r="N563" s="8">
        <v>4</v>
      </c>
      <c r="O563" s="8"/>
    </row>
    <row r="564" spans="2:15" x14ac:dyDescent="0.25">
      <c r="B564" s="8">
        <v>556</v>
      </c>
      <c r="C564" s="8" t="s">
        <v>122</v>
      </c>
      <c r="D564" s="10">
        <v>46122</v>
      </c>
      <c r="E564" s="8" t="s">
        <v>309</v>
      </c>
      <c r="F564" s="8" t="s">
        <v>24</v>
      </c>
      <c r="G564" s="8">
        <v>599</v>
      </c>
      <c r="H564" s="8">
        <v>0</v>
      </c>
      <c r="I564" s="8">
        <v>-599</v>
      </c>
      <c r="J564" s="8">
        <v>0</v>
      </c>
      <c r="K564" s="8" t="s">
        <v>22</v>
      </c>
      <c r="L564" s="8" t="s">
        <v>5</v>
      </c>
      <c r="M564" s="8">
        <v>2026</v>
      </c>
      <c r="N564" s="8">
        <v>4</v>
      </c>
    </row>
    <row r="565" spans="2:15" x14ac:dyDescent="0.25">
      <c r="B565" s="8">
        <v>557</v>
      </c>
      <c r="C565" s="8" t="s">
        <v>122</v>
      </c>
      <c r="D565" s="10">
        <v>46122</v>
      </c>
      <c r="E565" s="8" t="s">
        <v>309</v>
      </c>
      <c r="F565" s="8" t="s">
        <v>26</v>
      </c>
      <c r="G565" s="8">
        <v>228</v>
      </c>
      <c r="H565" s="8">
        <v>0</v>
      </c>
      <c r="I565" s="8">
        <v>-228</v>
      </c>
      <c r="J565" s="8">
        <v>0</v>
      </c>
      <c r="K565" s="8" t="s">
        <v>22</v>
      </c>
      <c r="L565" s="8" t="s">
        <v>5</v>
      </c>
      <c r="M565" s="8">
        <v>2026</v>
      </c>
      <c r="N565" s="8">
        <v>4</v>
      </c>
    </row>
    <row r="566" spans="2:15" x14ac:dyDescent="0.25">
      <c r="B566" s="8">
        <v>558</v>
      </c>
      <c r="C566" s="8" t="s">
        <v>122</v>
      </c>
      <c r="D566" s="10">
        <v>46123</v>
      </c>
      <c r="E566" s="8" t="s">
        <v>243</v>
      </c>
      <c r="F566" s="8" t="s">
        <v>21</v>
      </c>
      <c r="G566" s="8">
        <v>37</v>
      </c>
      <c r="H566" s="8">
        <v>0</v>
      </c>
      <c r="I566" s="8">
        <v>-37</v>
      </c>
      <c r="J566" s="8">
        <v>0</v>
      </c>
      <c r="K566" s="8" t="s">
        <v>22</v>
      </c>
      <c r="L566" s="8" t="s">
        <v>5</v>
      </c>
      <c r="M566" s="8">
        <v>2026</v>
      </c>
      <c r="N566" s="8">
        <v>4</v>
      </c>
    </row>
    <row r="567" spans="2:15" x14ac:dyDescent="0.25">
      <c r="B567" s="8">
        <v>559</v>
      </c>
      <c r="C567" s="8" t="s">
        <v>122</v>
      </c>
      <c r="D567" s="10">
        <v>46123</v>
      </c>
      <c r="E567" s="8" t="s">
        <v>358</v>
      </c>
      <c r="F567" s="8" t="s">
        <v>25</v>
      </c>
      <c r="G567" s="8">
        <v>60</v>
      </c>
      <c r="H567" s="8">
        <v>0</v>
      </c>
      <c r="I567" s="8">
        <v>-60</v>
      </c>
      <c r="J567" s="8">
        <v>0</v>
      </c>
      <c r="K567" s="8" t="s">
        <v>22</v>
      </c>
      <c r="L567" s="8" t="s">
        <v>5</v>
      </c>
      <c r="M567" s="8">
        <v>2026</v>
      </c>
      <c r="N567" s="8">
        <v>4</v>
      </c>
    </row>
    <row r="568" spans="2:15" x14ac:dyDescent="0.25">
      <c r="B568" s="8">
        <v>560</v>
      </c>
      <c r="C568" s="8" t="s">
        <v>122</v>
      </c>
      <c r="D568" s="10">
        <v>46123</v>
      </c>
      <c r="E568" s="8" t="s">
        <v>358</v>
      </c>
      <c r="F568" s="8" t="s">
        <v>25</v>
      </c>
      <c r="G568" s="8">
        <v>50</v>
      </c>
      <c r="H568" s="8">
        <v>0</v>
      </c>
      <c r="I568" s="8">
        <v>-50</v>
      </c>
      <c r="J568" s="8">
        <v>0</v>
      </c>
      <c r="K568" s="8" t="s">
        <v>22</v>
      </c>
      <c r="L568" s="8" t="s">
        <v>5</v>
      </c>
      <c r="M568" s="8">
        <v>2026</v>
      </c>
      <c r="N568" s="8">
        <v>4</v>
      </c>
    </row>
    <row r="569" spans="2:15" x14ac:dyDescent="0.25">
      <c r="B569" s="8">
        <v>561</v>
      </c>
      <c r="C569" s="8" t="s">
        <v>122</v>
      </c>
      <c r="D569" s="10">
        <v>46123</v>
      </c>
      <c r="E569" s="8" t="s">
        <v>249</v>
      </c>
      <c r="F569" s="8" t="s">
        <v>218</v>
      </c>
      <c r="G569" s="8">
        <v>352.82</v>
      </c>
      <c r="H569" s="8">
        <v>0</v>
      </c>
      <c r="I569" s="8">
        <v>-352.82</v>
      </c>
      <c r="J569" s="8">
        <v>0</v>
      </c>
      <c r="K569" s="8" t="s">
        <v>19</v>
      </c>
      <c r="L569" s="8" t="s">
        <v>5</v>
      </c>
      <c r="M569" s="8">
        <v>2026</v>
      </c>
      <c r="N569" s="8">
        <v>4</v>
      </c>
    </row>
    <row r="570" spans="2:15" x14ac:dyDescent="0.25">
      <c r="B570" s="8">
        <v>562</v>
      </c>
      <c r="C570" s="8" t="s">
        <v>122</v>
      </c>
      <c r="D570" s="10">
        <v>46123</v>
      </c>
      <c r="E570" s="8" t="s">
        <v>440</v>
      </c>
      <c r="F570" s="8" t="s">
        <v>25</v>
      </c>
      <c r="G570" s="8">
        <v>1225</v>
      </c>
      <c r="H570" s="8">
        <v>0</v>
      </c>
      <c r="I570" s="8">
        <v>-1225</v>
      </c>
      <c r="J570" s="8">
        <v>0</v>
      </c>
      <c r="K570" s="8" t="s">
        <v>22</v>
      </c>
      <c r="L570" s="8" t="s">
        <v>5</v>
      </c>
      <c r="M570" s="8">
        <v>2026</v>
      </c>
      <c r="N570" s="8">
        <v>4</v>
      </c>
    </row>
    <row r="571" spans="2:15" x14ac:dyDescent="0.25">
      <c r="B571" s="8">
        <v>563</v>
      </c>
      <c r="C571" s="8" t="s">
        <v>122</v>
      </c>
      <c r="D571" s="10">
        <v>46123</v>
      </c>
      <c r="E571" s="8" t="s">
        <v>377</v>
      </c>
      <c r="F571" s="8" t="s">
        <v>29</v>
      </c>
      <c r="G571" s="8">
        <v>820</v>
      </c>
      <c r="H571" s="8">
        <v>0</v>
      </c>
      <c r="I571" s="8">
        <v>-820</v>
      </c>
      <c r="J571" s="8">
        <v>0</v>
      </c>
      <c r="K571" s="8" t="s">
        <v>28</v>
      </c>
      <c r="L571" s="8" t="s">
        <v>5</v>
      </c>
      <c r="M571" s="8">
        <v>2026</v>
      </c>
      <c r="N571" s="8">
        <v>4</v>
      </c>
    </row>
    <row r="572" spans="2:15" x14ac:dyDescent="0.25">
      <c r="B572" s="8">
        <v>564</v>
      </c>
      <c r="C572" s="8" t="s">
        <v>122</v>
      </c>
      <c r="D572" s="10">
        <v>46123</v>
      </c>
      <c r="E572" s="8" t="s">
        <v>259</v>
      </c>
      <c r="F572" s="8" t="s">
        <v>29</v>
      </c>
      <c r="G572" s="8">
        <v>120</v>
      </c>
      <c r="H572" s="8">
        <v>0</v>
      </c>
      <c r="I572" s="8">
        <v>-120</v>
      </c>
      <c r="J572" s="8">
        <v>0</v>
      </c>
      <c r="K572" s="8" t="s">
        <v>28</v>
      </c>
      <c r="L572" s="8" t="s">
        <v>5</v>
      </c>
      <c r="M572" s="8">
        <v>2026</v>
      </c>
      <c r="N572" s="8">
        <v>4</v>
      </c>
    </row>
    <row r="573" spans="2:15" x14ac:dyDescent="0.25">
      <c r="B573" s="8">
        <v>565</v>
      </c>
      <c r="C573" s="8" t="s">
        <v>122</v>
      </c>
      <c r="D573" s="10">
        <v>46123</v>
      </c>
      <c r="E573" s="8" t="s">
        <v>207</v>
      </c>
      <c r="F573" s="8" t="s">
        <v>25</v>
      </c>
      <c r="G573" s="8">
        <v>417.9</v>
      </c>
      <c r="H573" s="8">
        <v>0</v>
      </c>
      <c r="I573" s="8">
        <v>-417.9</v>
      </c>
      <c r="J573" s="8">
        <v>0</v>
      </c>
      <c r="K573" s="8" t="s">
        <v>22</v>
      </c>
      <c r="L573" s="8" t="s">
        <v>5</v>
      </c>
      <c r="M573" s="8">
        <v>2026</v>
      </c>
      <c r="N573" s="8">
        <v>4</v>
      </c>
    </row>
    <row r="574" spans="2:15" x14ac:dyDescent="0.25">
      <c r="B574" s="8">
        <v>566</v>
      </c>
      <c r="C574" s="8" t="s">
        <v>122</v>
      </c>
      <c r="D574" s="10">
        <v>46123</v>
      </c>
      <c r="E574" s="8" t="s">
        <v>441</v>
      </c>
      <c r="F574" s="8" t="s">
        <v>29</v>
      </c>
      <c r="G574" s="8">
        <v>55</v>
      </c>
      <c r="H574" s="8">
        <v>0</v>
      </c>
      <c r="I574" s="8">
        <v>-55</v>
      </c>
      <c r="J574" s="8">
        <v>0</v>
      </c>
      <c r="K574" s="8" t="s">
        <v>28</v>
      </c>
      <c r="L574" s="8" t="s">
        <v>5</v>
      </c>
      <c r="M574" s="8">
        <v>2026</v>
      </c>
      <c r="N574" s="8">
        <v>4</v>
      </c>
    </row>
    <row r="575" spans="2:15" x14ac:dyDescent="0.25">
      <c r="B575" s="8">
        <v>567</v>
      </c>
      <c r="C575" s="8" t="s">
        <v>123</v>
      </c>
      <c r="D575" s="10">
        <v>46123</v>
      </c>
      <c r="E575" s="8" t="s">
        <v>445</v>
      </c>
      <c r="F575" s="8" t="s">
        <v>15</v>
      </c>
      <c r="G575" s="8">
        <v>2195</v>
      </c>
      <c r="H575" s="8">
        <v>0</v>
      </c>
      <c r="I575" s="8">
        <v>-2195</v>
      </c>
      <c r="J575" s="8">
        <v>0</v>
      </c>
      <c r="K575" s="8" t="s">
        <v>16</v>
      </c>
      <c r="L575" s="8" t="s">
        <v>5</v>
      </c>
      <c r="M575" s="8">
        <v>2026</v>
      </c>
      <c r="N575" s="8">
        <v>4</v>
      </c>
    </row>
    <row r="576" spans="2:15" x14ac:dyDescent="0.25">
      <c r="B576" s="8">
        <v>568</v>
      </c>
      <c r="C576" s="8" t="s">
        <v>123</v>
      </c>
      <c r="D576" s="10">
        <v>46123</v>
      </c>
      <c r="E576" s="8" t="s">
        <v>217</v>
      </c>
      <c r="F576" s="8" t="s">
        <v>45</v>
      </c>
      <c r="G576" s="8">
        <v>0</v>
      </c>
      <c r="H576" s="8">
        <v>5000</v>
      </c>
      <c r="I576" s="8">
        <v>5000</v>
      </c>
      <c r="J576" s="8">
        <v>0</v>
      </c>
      <c r="K576" s="8" t="s">
        <v>46</v>
      </c>
      <c r="L576" s="8" t="s">
        <v>44</v>
      </c>
      <c r="M576" s="8">
        <v>2026</v>
      </c>
      <c r="N576" s="8">
        <v>4</v>
      </c>
    </row>
    <row r="577" spans="2:14" x14ac:dyDescent="0.25">
      <c r="B577" s="8">
        <v>569</v>
      </c>
      <c r="C577" s="8" t="s">
        <v>123</v>
      </c>
      <c r="D577" s="10">
        <v>46123</v>
      </c>
      <c r="E577" s="8" t="s">
        <v>446</v>
      </c>
      <c r="F577" s="8" t="s">
        <v>24</v>
      </c>
      <c r="G577" s="8">
        <v>851</v>
      </c>
      <c r="H577" s="8">
        <v>0</v>
      </c>
      <c r="I577" s="8">
        <v>-851</v>
      </c>
      <c r="J577" s="8">
        <v>0</v>
      </c>
      <c r="K577" s="8" t="s">
        <v>22</v>
      </c>
      <c r="L577" s="8" t="s">
        <v>5</v>
      </c>
      <c r="M577" s="8">
        <v>2026</v>
      </c>
      <c r="N577" s="8">
        <v>4</v>
      </c>
    </row>
    <row r="578" spans="2:14" x14ac:dyDescent="0.25">
      <c r="B578" s="8">
        <v>570</v>
      </c>
      <c r="C578" s="8" t="s">
        <v>123</v>
      </c>
      <c r="D578" s="10">
        <v>46123</v>
      </c>
      <c r="E578" s="8" t="s">
        <v>447</v>
      </c>
      <c r="F578" s="8" t="s">
        <v>24</v>
      </c>
      <c r="G578" s="8">
        <v>780</v>
      </c>
      <c r="H578" s="8">
        <v>0</v>
      </c>
      <c r="I578" s="8">
        <v>-780</v>
      </c>
      <c r="J578" s="8">
        <v>0</v>
      </c>
      <c r="K578" s="8" t="s">
        <v>22</v>
      </c>
      <c r="L578" s="8" t="s">
        <v>5</v>
      </c>
      <c r="M578" s="8">
        <v>2026</v>
      </c>
      <c r="N578" s="8">
        <v>4</v>
      </c>
    </row>
    <row r="579" spans="2:14" x14ac:dyDescent="0.25">
      <c r="B579" s="8">
        <v>571</v>
      </c>
      <c r="C579" s="8" t="s">
        <v>122</v>
      </c>
      <c r="D579" s="10">
        <v>46124</v>
      </c>
      <c r="E579" s="8" t="s">
        <v>146</v>
      </c>
      <c r="F579" s="8" t="s">
        <v>21</v>
      </c>
      <c r="G579" s="8">
        <v>198</v>
      </c>
      <c r="H579" s="8">
        <v>0</v>
      </c>
      <c r="I579" s="8">
        <v>-198</v>
      </c>
      <c r="J579" s="8">
        <v>0</v>
      </c>
      <c r="K579" s="8" t="s">
        <v>22</v>
      </c>
      <c r="L579" s="8" t="s">
        <v>5</v>
      </c>
      <c r="M579" s="8">
        <v>2026</v>
      </c>
      <c r="N579" s="8">
        <v>4</v>
      </c>
    </row>
    <row r="580" spans="2:14" x14ac:dyDescent="0.25">
      <c r="B580" s="8">
        <v>572</v>
      </c>
      <c r="C580" s="8" t="s">
        <v>122</v>
      </c>
      <c r="D580" s="10">
        <v>46124</v>
      </c>
      <c r="E580" s="8" t="s">
        <v>139</v>
      </c>
      <c r="F580" s="8" t="s">
        <v>3</v>
      </c>
      <c r="G580" s="8">
        <v>15500</v>
      </c>
      <c r="H580" s="8">
        <v>0</v>
      </c>
      <c r="I580" s="8">
        <v>-15500</v>
      </c>
      <c r="J580" s="8">
        <v>0</v>
      </c>
      <c r="K580" s="8" t="s">
        <v>4</v>
      </c>
      <c r="L580" s="8" t="s">
        <v>5</v>
      </c>
      <c r="M580" s="8">
        <v>2026</v>
      </c>
      <c r="N580" s="8">
        <v>4</v>
      </c>
    </row>
    <row r="581" spans="2:14" x14ac:dyDescent="0.25">
      <c r="B581" s="8">
        <v>573</v>
      </c>
      <c r="C581" s="8" t="s">
        <v>122</v>
      </c>
      <c r="D581" s="10">
        <v>46124</v>
      </c>
      <c r="E581" s="8" t="s">
        <v>81</v>
      </c>
      <c r="F581" s="8" t="s">
        <v>81</v>
      </c>
      <c r="G581" s="8">
        <v>250</v>
      </c>
      <c r="H581" s="8">
        <v>0</v>
      </c>
      <c r="I581" s="8">
        <v>-250</v>
      </c>
      <c r="J581" s="8">
        <v>0</v>
      </c>
      <c r="K581" s="8" t="s">
        <v>4</v>
      </c>
      <c r="L581" s="8" t="s">
        <v>5</v>
      </c>
      <c r="M581" s="8">
        <v>2026</v>
      </c>
      <c r="N581" s="8">
        <v>4</v>
      </c>
    </row>
    <row r="582" spans="2:14" x14ac:dyDescent="0.25">
      <c r="B582" s="8">
        <v>574</v>
      </c>
      <c r="C582" s="8" t="s">
        <v>122</v>
      </c>
      <c r="D582" s="10">
        <v>46124</v>
      </c>
      <c r="E582" s="8" t="s">
        <v>6</v>
      </c>
      <c r="F582" s="8" t="s">
        <v>6</v>
      </c>
      <c r="G582" s="8">
        <v>817</v>
      </c>
      <c r="H582" s="8">
        <v>0</v>
      </c>
      <c r="I582" s="8">
        <v>-817</v>
      </c>
      <c r="J582" s="8">
        <v>0</v>
      </c>
      <c r="K582" s="8" t="s">
        <v>4</v>
      </c>
      <c r="L582" s="8" t="s">
        <v>5</v>
      </c>
      <c r="M582" s="8">
        <v>2026</v>
      </c>
      <c r="N582" s="8">
        <v>4</v>
      </c>
    </row>
    <row r="583" spans="2:14" x14ac:dyDescent="0.25">
      <c r="B583" s="8">
        <v>575</v>
      </c>
      <c r="C583" s="8" t="s">
        <v>123</v>
      </c>
      <c r="D583" s="10">
        <v>46124</v>
      </c>
      <c r="E583" s="8" t="s">
        <v>437</v>
      </c>
      <c r="F583" s="8" t="s">
        <v>25</v>
      </c>
      <c r="G583" s="8">
        <v>55</v>
      </c>
      <c r="H583" s="8">
        <v>0</v>
      </c>
      <c r="I583" s="8">
        <v>-55</v>
      </c>
      <c r="J583" s="8">
        <v>0</v>
      </c>
      <c r="K583" s="8" t="s">
        <v>22</v>
      </c>
      <c r="L583" s="8" t="s">
        <v>5</v>
      </c>
      <c r="M583" s="8">
        <v>2026</v>
      </c>
      <c r="N583" s="8">
        <v>4</v>
      </c>
    </row>
    <row r="584" spans="2:14" x14ac:dyDescent="0.25">
      <c r="B584" s="8">
        <v>576</v>
      </c>
      <c r="C584" s="8" t="s">
        <v>122</v>
      </c>
      <c r="D584" s="10">
        <v>46125</v>
      </c>
      <c r="E584" s="8" t="s">
        <v>435</v>
      </c>
      <c r="F584" s="8" t="s">
        <v>11</v>
      </c>
      <c r="G584" s="8">
        <v>170</v>
      </c>
      <c r="H584" s="8">
        <v>0</v>
      </c>
      <c r="I584" s="8">
        <v>-170</v>
      </c>
      <c r="J584" s="8">
        <v>0</v>
      </c>
      <c r="K584" s="8" t="s">
        <v>9</v>
      </c>
      <c r="L584" s="8" t="s">
        <v>5</v>
      </c>
      <c r="M584" s="8">
        <v>2026</v>
      </c>
      <c r="N584" s="8">
        <v>4</v>
      </c>
    </row>
    <row r="585" spans="2:14" x14ac:dyDescent="0.25">
      <c r="B585" s="8">
        <v>577</v>
      </c>
      <c r="C585" s="8" t="s">
        <v>122</v>
      </c>
      <c r="D585" s="10">
        <v>46125</v>
      </c>
      <c r="E585" s="8" t="s">
        <v>436</v>
      </c>
      <c r="F585" s="8" t="s">
        <v>11</v>
      </c>
      <c r="G585" s="8">
        <v>200</v>
      </c>
      <c r="H585" s="8">
        <v>0</v>
      </c>
      <c r="I585" s="8">
        <v>-200</v>
      </c>
      <c r="J585" s="8">
        <v>0</v>
      </c>
      <c r="K585" s="8" t="s">
        <v>9</v>
      </c>
      <c r="L585" s="8" t="s">
        <v>5</v>
      </c>
      <c r="M585" s="8">
        <v>2026</v>
      </c>
      <c r="N585" s="8">
        <v>4</v>
      </c>
    </row>
    <row r="586" spans="2:14" x14ac:dyDescent="0.25">
      <c r="B586" s="8">
        <v>578</v>
      </c>
      <c r="C586" s="8" t="s">
        <v>122</v>
      </c>
      <c r="D586" s="10">
        <v>46126</v>
      </c>
      <c r="E586" s="8" t="s">
        <v>243</v>
      </c>
      <c r="F586" s="8" t="s">
        <v>21</v>
      </c>
      <c r="G586" s="8">
        <v>27</v>
      </c>
      <c r="H586" s="8">
        <v>0</v>
      </c>
      <c r="I586" s="8">
        <v>-27</v>
      </c>
      <c r="J586" s="8">
        <v>0</v>
      </c>
      <c r="K586" s="8" t="s">
        <v>22</v>
      </c>
      <c r="L586" s="8" t="s">
        <v>5</v>
      </c>
      <c r="M586" s="8">
        <v>2026</v>
      </c>
      <c r="N586" s="8">
        <v>4</v>
      </c>
    </row>
    <row r="587" spans="2:14" x14ac:dyDescent="0.25">
      <c r="B587" s="8">
        <v>579</v>
      </c>
      <c r="C587" s="8" t="s">
        <v>123</v>
      </c>
      <c r="D587" s="10">
        <v>46126</v>
      </c>
      <c r="E587" s="8" t="s">
        <v>448</v>
      </c>
      <c r="F587" s="8" t="s">
        <v>20</v>
      </c>
      <c r="G587" s="8">
        <v>245</v>
      </c>
      <c r="H587" s="8">
        <v>0</v>
      </c>
      <c r="I587" s="8">
        <v>-245</v>
      </c>
      <c r="J587" s="8">
        <v>0</v>
      </c>
      <c r="K587" s="8" t="s">
        <v>19</v>
      </c>
      <c r="L587" s="8" t="s">
        <v>5</v>
      </c>
      <c r="M587" s="8">
        <v>2026</v>
      </c>
      <c r="N587" s="8">
        <v>4</v>
      </c>
    </row>
    <row r="588" spans="2:14" x14ac:dyDescent="0.25">
      <c r="B588" s="8">
        <v>580</v>
      </c>
      <c r="C588" s="8" t="s">
        <v>122</v>
      </c>
      <c r="D588" s="10">
        <v>46127</v>
      </c>
      <c r="E588" s="8" t="s">
        <v>381</v>
      </c>
      <c r="F588" s="8" t="s">
        <v>21</v>
      </c>
      <c r="G588" s="8">
        <v>38</v>
      </c>
      <c r="H588" s="8">
        <v>0</v>
      </c>
      <c r="I588" s="8">
        <v>-38</v>
      </c>
      <c r="J588" s="8">
        <v>0</v>
      </c>
      <c r="K588" s="8" t="s">
        <v>22</v>
      </c>
      <c r="L588" s="8" t="s">
        <v>5</v>
      </c>
      <c r="M588" s="8">
        <v>2026</v>
      </c>
      <c r="N588" s="8">
        <v>4</v>
      </c>
    </row>
    <row r="589" spans="2:14" x14ac:dyDescent="0.25">
      <c r="B589" s="8">
        <v>581</v>
      </c>
      <c r="C589" s="8" t="s">
        <v>122</v>
      </c>
      <c r="D589" s="10">
        <v>46127</v>
      </c>
      <c r="E589" s="8" t="s">
        <v>267</v>
      </c>
      <c r="F589" s="8" t="s">
        <v>10</v>
      </c>
      <c r="G589" s="8">
        <v>96</v>
      </c>
      <c r="H589" s="8">
        <v>0</v>
      </c>
      <c r="I589" s="8">
        <v>-96</v>
      </c>
      <c r="J589" s="8">
        <v>0</v>
      </c>
      <c r="K589" s="8" t="s">
        <v>9</v>
      </c>
      <c r="L589" s="8" t="s">
        <v>5</v>
      </c>
      <c r="M589" s="8">
        <v>2026</v>
      </c>
      <c r="N589" s="8">
        <v>4</v>
      </c>
    </row>
    <row r="590" spans="2:14" x14ac:dyDescent="0.25">
      <c r="B590" s="8">
        <v>582</v>
      </c>
      <c r="C590" s="8" t="s">
        <v>123</v>
      </c>
      <c r="D590" s="10">
        <v>46127</v>
      </c>
      <c r="E590" s="8" t="s">
        <v>449</v>
      </c>
      <c r="F590" s="8" t="s">
        <v>25</v>
      </c>
      <c r="G590" s="8">
        <v>875</v>
      </c>
      <c r="H590" s="8">
        <v>0</v>
      </c>
      <c r="I590" s="8">
        <v>-875</v>
      </c>
      <c r="J590" s="8">
        <v>0</v>
      </c>
      <c r="K590" s="8" t="s">
        <v>22</v>
      </c>
      <c r="L590" s="8" t="s">
        <v>5</v>
      </c>
      <c r="M590" s="8">
        <v>2026</v>
      </c>
      <c r="N590" s="8">
        <v>4</v>
      </c>
    </row>
    <row r="591" spans="2:14" x14ac:dyDescent="0.25">
      <c r="B591" s="8">
        <v>583</v>
      </c>
      <c r="C591" s="8" t="s">
        <v>122</v>
      </c>
      <c r="D591" s="10">
        <v>46128</v>
      </c>
      <c r="E591" s="8" t="s">
        <v>306</v>
      </c>
      <c r="F591" s="8" t="s">
        <v>36</v>
      </c>
      <c r="G591" s="8">
        <v>20000</v>
      </c>
      <c r="H591" s="8">
        <v>0</v>
      </c>
      <c r="I591" s="8">
        <v>-20000</v>
      </c>
      <c r="J591" s="8">
        <v>0</v>
      </c>
      <c r="K591" s="8" t="s">
        <v>34</v>
      </c>
      <c r="L591" s="8" t="s">
        <v>35</v>
      </c>
      <c r="M591" s="8">
        <v>2026</v>
      </c>
      <c r="N591" s="8">
        <v>4</v>
      </c>
    </row>
    <row r="592" spans="2:14" x14ac:dyDescent="0.25">
      <c r="B592" s="8">
        <v>584</v>
      </c>
      <c r="C592" s="8" t="s">
        <v>122</v>
      </c>
      <c r="D592" s="10">
        <v>46128</v>
      </c>
      <c r="E592" s="8" t="s">
        <v>442</v>
      </c>
      <c r="F592" s="8" t="s">
        <v>409</v>
      </c>
      <c r="G592" s="8">
        <v>40000</v>
      </c>
      <c r="H592" s="8">
        <v>0</v>
      </c>
      <c r="I592" s="8">
        <v>-40000</v>
      </c>
      <c r="J592" s="8">
        <v>0</v>
      </c>
      <c r="K592" s="8" t="s">
        <v>418</v>
      </c>
      <c r="L592" s="8" t="s">
        <v>5</v>
      </c>
      <c r="M592" s="8">
        <v>2026</v>
      </c>
      <c r="N592" s="8">
        <v>4</v>
      </c>
    </row>
    <row r="593" spans="2:14" x14ac:dyDescent="0.25">
      <c r="B593" s="8">
        <v>585</v>
      </c>
      <c r="C593" s="8" t="s">
        <v>123</v>
      </c>
      <c r="D593" s="10">
        <v>46128</v>
      </c>
      <c r="E593" s="8" t="s">
        <v>450</v>
      </c>
      <c r="F593" s="8" t="s">
        <v>21</v>
      </c>
      <c r="G593" s="8">
        <v>207</v>
      </c>
      <c r="H593" s="8">
        <v>0</v>
      </c>
      <c r="I593" s="8">
        <v>-207</v>
      </c>
      <c r="J593" s="8">
        <v>0</v>
      </c>
      <c r="K593" s="8" t="s">
        <v>22</v>
      </c>
      <c r="L593" s="8" t="s">
        <v>5</v>
      </c>
      <c r="M593" s="8">
        <v>2026</v>
      </c>
      <c r="N593" s="8">
        <v>4</v>
      </c>
    </row>
    <row r="594" spans="2:14" x14ac:dyDescent="0.25">
      <c r="B594" s="8">
        <v>586</v>
      </c>
      <c r="C594" s="8" t="s">
        <v>122</v>
      </c>
      <c r="D594" s="10">
        <v>46129</v>
      </c>
      <c r="E594" s="8" t="s">
        <v>437</v>
      </c>
      <c r="F594" s="8" t="s">
        <v>21</v>
      </c>
      <c r="G594" s="8">
        <v>55</v>
      </c>
      <c r="H594" s="8">
        <v>0</v>
      </c>
      <c r="I594" s="8">
        <v>-55</v>
      </c>
      <c r="J594" s="8">
        <v>0</v>
      </c>
      <c r="K594" s="8" t="s">
        <v>22</v>
      </c>
      <c r="L594" s="8" t="s">
        <v>5</v>
      </c>
      <c r="M594" s="8">
        <v>2026</v>
      </c>
      <c r="N594" s="8">
        <v>4</v>
      </c>
    </row>
    <row r="595" spans="2:14" x14ac:dyDescent="0.25">
      <c r="B595" s="8">
        <v>587</v>
      </c>
      <c r="C595" s="8" t="s">
        <v>123</v>
      </c>
      <c r="D595" s="10">
        <v>46129</v>
      </c>
      <c r="E595" s="8" t="s">
        <v>128</v>
      </c>
      <c r="F595" s="8" t="s">
        <v>25</v>
      </c>
      <c r="G595" s="8">
        <v>198</v>
      </c>
      <c r="H595" s="8">
        <v>0</v>
      </c>
      <c r="I595" s="8">
        <v>-198</v>
      </c>
      <c r="J595" s="8">
        <v>0</v>
      </c>
      <c r="K595" s="8" t="s">
        <v>22</v>
      </c>
      <c r="L595" s="8" t="s">
        <v>5</v>
      </c>
      <c r="M595" s="8">
        <v>2026</v>
      </c>
      <c r="N595" s="8">
        <v>4</v>
      </c>
    </row>
    <row r="596" spans="2:14" x14ac:dyDescent="0.25">
      <c r="B596" s="8">
        <v>588</v>
      </c>
      <c r="C596" s="8" t="s">
        <v>123</v>
      </c>
      <c r="D596" s="10">
        <v>46129</v>
      </c>
      <c r="E596" s="8" t="s">
        <v>128</v>
      </c>
      <c r="F596" s="8" t="s">
        <v>25</v>
      </c>
      <c r="G596" s="8">
        <v>130</v>
      </c>
      <c r="H596" s="8">
        <v>0</v>
      </c>
      <c r="I596" s="8">
        <v>-130</v>
      </c>
      <c r="J596" s="8">
        <v>0</v>
      </c>
      <c r="K596" s="8" t="s">
        <v>22</v>
      </c>
      <c r="L596" s="8" t="s">
        <v>5</v>
      </c>
      <c r="M596" s="8">
        <v>2026</v>
      </c>
      <c r="N596" s="8">
        <v>4</v>
      </c>
    </row>
    <row r="597" spans="2:14" x14ac:dyDescent="0.25">
      <c r="B597" s="8">
        <v>589</v>
      </c>
      <c r="C597" s="8" t="s">
        <v>122</v>
      </c>
      <c r="D597" s="10">
        <v>46130</v>
      </c>
      <c r="E597" s="8" t="s">
        <v>243</v>
      </c>
      <c r="F597" s="8" t="s">
        <v>21</v>
      </c>
      <c r="G597" s="8">
        <v>27</v>
      </c>
      <c r="H597" s="8">
        <v>0</v>
      </c>
      <c r="I597" s="8">
        <v>-27</v>
      </c>
      <c r="J597" s="8">
        <v>0</v>
      </c>
      <c r="K597" s="8" t="s">
        <v>22</v>
      </c>
      <c r="L597" s="8" t="s">
        <v>5</v>
      </c>
      <c r="M597" s="8">
        <v>2026</v>
      </c>
      <c r="N597" s="8">
        <v>4</v>
      </c>
    </row>
    <row r="598" spans="2:14" x14ac:dyDescent="0.25">
      <c r="B598" s="8">
        <v>590</v>
      </c>
      <c r="C598" s="8" t="s">
        <v>122</v>
      </c>
      <c r="D598" s="10">
        <v>46130</v>
      </c>
      <c r="E598" s="8" t="s">
        <v>438</v>
      </c>
      <c r="F598" s="8" t="s">
        <v>21</v>
      </c>
      <c r="G598" s="8">
        <v>60</v>
      </c>
      <c r="H598" s="8">
        <v>0</v>
      </c>
      <c r="I598" s="8">
        <v>-60</v>
      </c>
      <c r="J598" s="8">
        <v>0</v>
      </c>
      <c r="K598" s="8" t="s">
        <v>22</v>
      </c>
      <c r="L598" s="8" t="s">
        <v>5</v>
      </c>
      <c r="M598" s="8">
        <v>2026</v>
      </c>
      <c r="N598" s="8">
        <v>4</v>
      </c>
    </row>
    <row r="599" spans="2:14" x14ac:dyDescent="0.25">
      <c r="B599" s="8">
        <v>591</v>
      </c>
      <c r="C599" s="8" t="s">
        <v>122</v>
      </c>
      <c r="D599" s="10">
        <v>46130</v>
      </c>
      <c r="E599" s="8" t="s">
        <v>439</v>
      </c>
      <c r="F599" s="8" t="s">
        <v>21</v>
      </c>
      <c r="G599" s="8">
        <v>220</v>
      </c>
      <c r="H599" s="8">
        <v>0</v>
      </c>
      <c r="I599" s="8">
        <v>-220</v>
      </c>
      <c r="J599" s="8">
        <v>0</v>
      </c>
      <c r="K599" s="8" t="s">
        <v>22</v>
      </c>
      <c r="L599" s="8" t="s">
        <v>5</v>
      </c>
      <c r="M599" s="8">
        <v>2026</v>
      </c>
      <c r="N599" s="8">
        <v>4</v>
      </c>
    </row>
    <row r="600" spans="2:14" x14ac:dyDescent="0.25">
      <c r="B600" s="8">
        <v>592</v>
      </c>
      <c r="C600" s="8" t="s">
        <v>122</v>
      </c>
      <c r="D600" s="10">
        <v>46130</v>
      </c>
      <c r="E600" s="8" t="s">
        <v>222</v>
      </c>
      <c r="F600" s="8" t="s">
        <v>21</v>
      </c>
      <c r="G600" s="8">
        <v>28</v>
      </c>
      <c r="H600" s="8">
        <v>0</v>
      </c>
      <c r="I600" s="8">
        <v>-28</v>
      </c>
      <c r="J600" s="8">
        <v>0</v>
      </c>
      <c r="K600" s="8" t="s">
        <v>22</v>
      </c>
      <c r="L600" s="8" t="s">
        <v>5</v>
      </c>
      <c r="M600" s="8">
        <v>2026</v>
      </c>
      <c r="N600" s="8">
        <v>4</v>
      </c>
    </row>
    <row r="601" spans="2:14" x14ac:dyDescent="0.25">
      <c r="B601" s="8">
        <v>593</v>
      </c>
      <c r="C601" s="8" t="s">
        <v>122</v>
      </c>
      <c r="D601" s="10">
        <v>46130</v>
      </c>
      <c r="E601" s="8" t="s">
        <v>443</v>
      </c>
      <c r="F601" s="8" t="s">
        <v>29</v>
      </c>
      <c r="G601" s="8">
        <v>50</v>
      </c>
      <c r="H601" s="8">
        <v>0</v>
      </c>
      <c r="I601" s="8">
        <v>-50</v>
      </c>
      <c r="J601" s="8">
        <v>0</v>
      </c>
      <c r="K601" s="8" t="s">
        <v>28</v>
      </c>
      <c r="L601" s="8" t="s">
        <v>5</v>
      </c>
      <c r="M601" s="8">
        <v>2026</v>
      </c>
      <c r="N601" s="8">
        <v>4</v>
      </c>
    </row>
    <row r="602" spans="2:14" x14ac:dyDescent="0.25">
      <c r="B602" s="8">
        <v>594</v>
      </c>
      <c r="C602" s="8" t="s">
        <v>122</v>
      </c>
      <c r="D602" s="10">
        <v>46131</v>
      </c>
      <c r="E602" s="8" t="s">
        <v>444</v>
      </c>
      <c r="F602" s="8" t="s">
        <v>21</v>
      </c>
      <c r="G602" s="8">
        <v>960</v>
      </c>
      <c r="H602" s="8">
        <v>0</v>
      </c>
      <c r="I602" s="8">
        <v>-960</v>
      </c>
      <c r="J602" s="8">
        <v>0</v>
      </c>
      <c r="K602" s="8" t="s">
        <v>22</v>
      </c>
      <c r="L602" s="8" t="s">
        <v>5</v>
      </c>
      <c r="M602" s="8">
        <v>2026</v>
      </c>
      <c r="N602" s="8">
        <v>4</v>
      </c>
    </row>
    <row r="603" spans="2:14" x14ac:dyDescent="0.25">
      <c r="B603" s="8">
        <v>595</v>
      </c>
      <c r="C603" s="8" t="s">
        <v>122</v>
      </c>
      <c r="D603" s="10">
        <v>46131</v>
      </c>
      <c r="E603" s="8" t="s">
        <v>437</v>
      </c>
      <c r="F603" s="8" t="s">
        <v>21</v>
      </c>
      <c r="G603" s="8">
        <v>30</v>
      </c>
      <c r="H603" s="8">
        <v>0</v>
      </c>
      <c r="I603" s="8">
        <v>-30</v>
      </c>
      <c r="J603" s="8">
        <v>0</v>
      </c>
      <c r="K603" s="8" t="s">
        <v>22</v>
      </c>
      <c r="L603" s="8" t="s">
        <v>5</v>
      </c>
      <c r="M603" s="8">
        <v>2026</v>
      </c>
      <c r="N603" s="8">
        <v>4</v>
      </c>
    </row>
    <row r="604" spans="2:14" x14ac:dyDescent="0.25">
      <c r="B604" s="8">
        <v>596</v>
      </c>
      <c r="C604" s="8" t="s">
        <v>123</v>
      </c>
      <c r="D604" s="10">
        <v>46131</v>
      </c>
      <c r="E604" s="8" t="s">
        <v>451</v>
      </c>
      <c r="F604" s="8" t="s">
        <v>21</v>
      </c>
      <c r="G604" s="8">
        <v>732</v>
      </c>
      <c r="H604" s="8">
        <v>0</v>
      </c>
      <c r="I604" s="8">
        <v>-732</v>
      </c>
      <c r="J604" s="8">
        <v>0</v>
      </c>
      <c r="K604" s="8" t="s">
        <v>22</v>
      </c>
      <c r="L604" s="8" t="s">
        <v>5</v>
      </c>
      <c r="M604" s="8">
        <v>2026</v>
      </c>
      <c r="N604" s="8">
        <v>4</v>
      </c>
    </row>
    <row r="605" spans="2:14" x14ac:dyDescent="0.25">
      <c r="B605" s="8">
        <v>597</v>
      </c>
      <c r="C605" s="8" t="s">
        <v>123</v>
      </c>
      <c r="D605" s="10">
        <v>46131</v>
      </c>
      <c r="E605" s="8" t="s">
        <v>217</v>
      </c>
      <c r="F605" s="8" t="s">
        <v>410</v>
      </c>
      <c r="G605" s="8">
        <v>0</v>
      </c>
      <c r="H605" s="8">
        <v>3600</v>
      </c>
      <c r="I605" s="8">
        <v>3600</v>
      </c>
      <c r="J605" s="8">
        <v>0</v>
      </c>
      <c r="K605" s="8" t="s">
        <v>417</v>
      </c>
      <c r="L605" s="8" t="s">
        <v>44</v>
      </c>
      <c r="M605" s="8">
        <v>2026</v>
      </c>
      <c r="N605" s="8">
        <v>4</v>
      </c>
    </row>
    <row r="606" spans="2:14" x14ac:dyDescent="0.25">
      <c r="B606" s="8">
        <v>598</v>
      </c>
      <c r="C606" s="8" t="s">
        <v>123</v>
      </c>
      <c r="D606" s="10">
        <v>46131</v>
      </c>
      <c r="E606" s="8" t="s">
        <v>452</v>
      </c>
      <c r="F606" s="8" t="s">
        <v>23</v>
      </c>
      <c r="G606" s="8">
        <v>3600</v>
      </c>
      <c r="H606" s="8">
        <v>0</v>
      </c>
      <c r="I606" s="8">
        <v>-3600</v>
      </c>
      <c r="J606" s="8">
        <v>0</v>
      </c>
      <c r="K606" s="8" t="s">
        <v>22</v>
      </c>
      <c r="L606" s="8" t="s">
        <v>5</v>
      </c>
      <c r="M606" s="8">
        <v>2026</v>
      </c>
      <c r="N606" s="8">
        <v>4</v>
      </c>
    </row>
    <row r="607" spans="2:14" x14ac:dyDescent="0.25">
      <c r="B607" s="8">
        <v>599</v>
      </c>
      <c r="C607" s="8" t="s">
        <v>123</v>
      </c>
      <c r="D607" s="10">
        <v>46131</v>
      </c>
      <c r="E607" s="8" t="s">
        <v>453</v>
      </c>
      <c r="F607" s="8" t="s">
        <v>24</v>
      </c>
      <c r="G607" s="8">
        <v>850</v>
      </c>
      <c r="H607" s="8">
        <v>0</v>
      </c>
      <c r="I607" s="8">
        <v>-850</v>
      </c>
      <c r="J607" s="8">
        <v>0</v>
      </c>
      <c r="K607" s="8" t="s">
        <v>22</v>
      </c>
      <c r="L607" s="8" t="s">
        <v>5</v>
      </c>
      <c r="M607" s="8">
        <v>2026</v>
      </c>
      <c r="N607" s="8">
        <v>4</v>
      </c>
    </row>
    <row r="608" spans="2:14" x14ac:dyDescent="0.25">
      <c r="B608" s="8">
        <v>600</v>
      </c>
      <c r="C608" s="8" t="s">
        <v>123</v>
      </c>
      <c r="D608" s="10">
        <v>46132</v>
      </c>
      <c r="E608" s="8" t="s">
        <v>454</v>
      </c>
      <c r="F608" s="8" t="s">
        <v>20</v>
      </c>
      <c r="G608" s="8">
        <v>180</v>
      </c>
      <c r="H608" s="8">
        <v>0</v>
      </c>
      <c r="I608" s="8">
        <v>-180</v>
      </c>
      <c r="J608" s="8">
        <v>0</v>
      </c>
      <c r="K608" s="8" t="s">
        <v>19</v>
      </c>
      <c r="L608" s="8" t="s">
        <v>5</v>
      </c>
      <c r="M608" s="8">
        <v>2026</v>
      </c>
      <c r="N608" s="8">
        <v>4</v>
      </c>
    </row>
    <row r="609" spans="2:14" x14ac:dyDescent="0.25">
      <c r="B609" s="8">
        <v>601</v>
      </c>
      <c r="C609" s="8" t="s">
        <v>123</v>
      </c>
      <c r="D609" s="10">
        <v>46132</v>
      </c>
      <c r="E609" s="8" t="s">
        <v>169</v>
      </c>
      <c r="F609" s="8" t="s">
        <v>21</v>
      </c>
      <c r="G609" s="8">
        <v>180</v>
      </c>
      <c r="H609" s="8">
        <v>0</v>
      </c>
      <c r="I609" s="8">
        <v>-180</v>
      </c>
      <c r="J609" s="8">
        <v>0</v>
      </c>
      <c r="K609" s="8" t="s">
        <v>22</v>
      </c>
      <c r="L609" s="8" t="s">
        <v>5</v>
      </c>
      <c r="M609" s="8">
        <v>2026</v>
      </c>
      <c r="N609" s="8">
        <v>4</v>
      </c>
    </row>
    <row r="610" spans="2:14" x14ac:dyDescent="0.25">
      <c r="B610" s="8">
        <v>602</v>
      </c>
      <c r="C610" s="8" t="s">
        <v>122</v>
      </c>
      <c r="D610" s="10">
        <v>46133</v>
      </c>
      <c r="E610" s="8" t="s">
        <v>308</v>
      </c>
      <c r="F610" s="8" t="s">
        <v>21</v>
      </c>
      <c r="G610" s="8">
        <v>62</v>
      </c>
      <c r="H610" s="8">
        <v>0</v>
      </c>
      <c r="I610" s="8">
        <v>-62</v>
      </c>
      <c r="J610" s="8">
        <v>0</v>
      </c>
      <c r="K610" s="8" t="s">
        <v>22</v>
      </c>
      <c r="L610" s="8" t="s">
        <v>5</v>
      </c>
      <c r="M610" s="8">
        <v>2026</v>
      </c>
      <c r="N610" s="8">
        <v>4</v>
      </c>
    </row>
    <row r="611" spans="2:14" x14ac:dyDescent="0.25">
      <c r="B611" s="8">
        <v>603</v>
      </c>
      <c r="C611" s="8" t="s">
        <v>122</v>
      </c>
      <c r="D611" s="10">
        <v>46133</v>
      </c>
      <c r="E611" s="8" t="s">
        <v>280</v>
      </c>
      <c r="F611" s="8" t="s">
        <v>218</v>
      </c>
      <c r="G611" s="8">
        <v>990</v>
      </c>
      <c r="H611" s="8">
        <v>0</v>
      </c>
      <c r="I611" s="8">
        <v>-990</v>
      </c>
      <c r="J611" s="8">
        <v>0</v>
      </c>
      <c r="K611" s="8" t="s">
        <v>19</v>
      </c>
      <c r="L611" s="8" t="s">
        <v>5</v>
      </c>
      <c r="M611" s="8">
        <v>2026</v>
      </c>
      <c r="N611" s="8">
        <v>4</v>
      </c>
    </row>
    <row r="612" spans="2:14" x14ac:dyDescent="0.25">
      <c r="B612" s="8">
        <v>604</v>
      </c>
      <c r="C612" s="8" t="s">
        <v>122</v>
      </c>
      <c r="D612" s="10">
        <v>46133</v>
      </c>
      <c r="E612" s="8" t="s">
        <v>455</v>
      </c>
      <c r="F612" s="8" t="s">
        <v>218</v>
      </c>
      <c r="G612" s="8">
        <v>809</v>
      </c>
      <c r="H612" s="8">
        <v>0</v>
      </c>
      <c r="I612" s="8">
        <v>-809</v>
      </c>
      <c r="J612" s="8">
        <v>0</v>
      </c>
      <c r="K612" s="8" t="s">
        <v>19</v>
      </c>
      <c r="L612" s="8" t="s">
        <v>5</v>
      </c>
      <c r="M612" s="8">
        <v>2026</v>
      </c>
      <c r="N612" s="8">
        <v>4</v>
      </c>
    </row>
    <row r="613" spans="2:14" x14ac:dyDescent="0.25">
      <c r="B613" s="8">
        <v>605</v>
      </c>
      <c r="C613" s="8" t="s">
        <v>122</v>
      </c>
      <c r="D613" s="10">
        <v>46133</v>
      </c>
      <c r="E613" s="8" t="s">
        <v>456</v>
      </c>
      <c r="F613" s="8" t="s">
        <v>14</v>
      </c>
      <c r="G613" s="8">
        <v>56</v>
      </c>
      <c r="H613" s="8">
        <v>0</v>
      </c>
      <c r="I613" s="8">
        <v>-56</v>
      </c>
      <c r="J613" s="8">
        <v>0</v>
      </c>
      <c r="K613" s="8" t="s">
        <v>13</v>
      </c>
      <c r="L613" s="8" t="s">
        <v>5</v>
      </c>
      <c r="M613" s="8">
        <v>2026</v>
      </c>
      <c r="N613" s="8">
        <v>4</v>
      </c>
    </row>
    <row r="614" spans="2:14" x14ac:dyDescent="0.25">
      <c r="B614" s="8">
        <v>606</v>
      </c>
      <c r="C614" s="8" t="s">
        <v>122</v>
      </c>
      <c r="D614" s="10">
        <v>46133</v>
      </c>
      <c r="E614" s="8" t="s">
        <v>169</v>
      </c>
      <c r="F614" s="8" t="s">
        <v>21</v>
      </c>
      <c r="G614" s="8">
        <v>40</v>
      </c>
      <c r="H614" s="8">
        <v>0</v>
      </c>
      <c r="I614" s="8">
        <v>-40</v>
      </c>
      <c r="J614" s="8">
        <v>0</v>
      </c>
      <c r="K614" s="8" t="s">
        <v>22</v>
      </c>
      <c r="L614" s="8" t="s">
        <v>5</v>
      </c>
      <c r="M614" s="8">
        <v>2026</v>
      </c>
      <c r="N614" s="8">
        <v>4</v>
      </c>
    </row>
    <row r="615" spans="2:14" x14ac:dyDescent="0.25">
      <c r="B615" s="8">
        <v>607</v>
      </c>
      <c r="C615" s="8" t="s">
        <v>122</v>
      </c>
      <c r="D615" s="10">
        <v>46134</v>
      </c>
      <c r="E615" s="8" t="s">
        <v>457</v>
      </c>
      <c r="F615" s="8" t="s">
        <v>10</v>
      </c>
      <c r="G615" s="8">
        <v>3069</v>
      </c>
      <c r="H615" s="8">
        <v>0</v>
      </c>
      <c r="I615" s="8">
        <v>-3069</v>
      </c>
      <c r="J615" s="8">
        <v>0</v>
      </c>
      <c r="K615" s="8" t="s">
        <v>9</v>
      </c>
      <c r="L615" s="8" t="s">
        <v>5</v>
      </c>
      <c r="M615" s="8">
        <v>2026</v>
      </c>
      <c r="N615" s="8">
        <v>4</v>
      </c>
    </row>
    <row r="616" spans="2:14" x14ac:dyDescent="0.25">
      <c r="B616" s="8">
        <v>608</v>
      </c>
      <c r="C616" s="8" t="s">
        <v>122</v>
      </c>
      <c r="D616" s="10">
        <v>46134</v>
      </c>
      <c r="E616" s="8" t="s">
        <v>456</v>
      </c>
      <c r="F616" s="8" t="s">
        <v>14</v>
      </c>
      <c r="G616" s="8">
        <v>56</v>
      </c>
      <c r="H616" s="8">
        <v>0</v>
      </c>
      <c r="I616" s="8">
        <v>-56</v>
      </c>
      <c r="J616" s="8">
        <v>0</v>
      </c>
      <c r="K616" s="8" t="s">
        <v>13</v>
      </c>
      <c r="L616" s="8" t="s">
        <v>5</v>
      </c>
      <c r="M616" s="8">
        <v>2026</v>
      </c>
      <c r="N616" s="8">
        <v>4</v>
      </c>
    </row>
    <row r="617" spans="2:14" x14ac:dyDescent="0.25">
      <c r="B617" s="8">
        <v>609</v>
      </c>
      <c r="C617" s="8" t="s">
        <v>122</v>
      </c>
      <c r="D617" s="10">
        <v>46134</v>
      </c>
      <c r="E617" s="8" t="s">
        <v>128</v>
      </c>
      <c r="F617" s="8" t="s">
        <v>25</v>
      </c>
      <c r="G617" s="8">
        <v>45</v>
      </c>
      <c r="H617" s="8">
        <v>0</v>
      </c>
      <c r="I617" s="8">
        <v>-45</v>
      </c>
      <c r="J617" s="8">
        <v>0</v>
      </c>
      <c r="K617" s="8" t="s">
        <v>22</v>
      </c>
      <c r="L617" s="8" t="s">
        <v>5</v>
      </c>
      <c r="M617" s="8">
        <v>2026</v>
      </c>
      <c r="N617" s="8">
        <v>4</v>
      </c>
    </row>
    <row r="618" spans="2:14" x14ac:dyDescent="0.25">
      <c r="B618" s="8">
        <v>610</v>
      </c>
      <c r="C618" s="8" t="s">
        <v>123</v>
      </c>
      <c r="D618" s="10">
        <v>46134</v>
      </c>
      <c r="E618" s="8" t="s">
        <v>402</v>
      </c>
      <c r="F618" s="8" t="s">
        <v>21</v>
      </c>
      <c r="G618" s="8">
        <v>285</v>
      </c>
      <c r="H618" s="8">
        <v>0</v>
      </c>
      <c r="I618" s="8">
        <v>-285</v>
      </c>
      <c r="J618" s="8">
        <v>0</v>
      </c>
      <c r="K618" s="8" t="s">
        <v>22</v>
      </c>
      <c r="L618" s="8" t="s">
        <v>5</v>
      </c>
      <c r="M618" s="8">
        <v>2026</v>
      </c>
      <c r="N618" s="8">
        <v>4</v>
      </c>
    </row>
    <row r="619" spans="2:14" x14ac:dyDescent="0.25">
      <c r="B619" s="8">
        <v>611</v>
      </c>
      <c r="C619" s="8" t="s">
        <v>123</v>
      </c>
      <c r="D619" s="10">
        <v>46134</v>
      </c>
      <c r="E619" s="8" t="s">
        <v>156</v>
      </c>
      <c r="F619" s="8" t="s">
        <v>10</v>
      </c>
      <c r="G619" s="8">
        <v>120</v>
      </c>
      <c r="H619" s="8">
        <v>0</v>
      </c>
      <c r="I619" s="8">
        <v>-120</v>
      </c>
      <c r="J619" s="8">
        <v>0</v>
      </c>
      <c r="K619" s="8" t="s">
        <v>9</v>
      </c>
      <c r="L619" s="8" t="s">
        <v>5</v>
      </c>
      <c r="M619" s="8">
        <v>2026</v>
      </c>
      <c r="N619" s="8">
        <v>4</v>
      </c>
    </row>
    <row r="620" spans="2:14" x14ac:dyDescent="0.25">
      <c r="B620" s="8">
        <v>612</v>
      </c>
      <c r="C620" s="8" t="s">
        <v>123</v>
      </c>
      <c r="D620" s="10">
        <v>46135</v>
      </c>
      <c r="E620" s="8" t="s">
        <v>470</v>
      </c>
      <c r="F620" s="8" t="s">
        <v>10</v>
      </c>
      <c r="G620" s="8">
        <v>32</v>
      </c>
      <c r="H620" s="8">
        <v>0</v>
      </c>
      <c r="I620" s="8">
        <v>-32</v>
      </c>
      <c r="J620" s="8">
        <v>0</v>
      </c>
      <c r="K620" s="8" t="s">
        <v>9</v>
      </c>
      <c r="L620" s="8" t="s">
        <v>5</v>
      </c>
      <c r="M620" s="8">
        <v>2026</v>
      </c>
      <c r="N620" s="8">
        <v>4</v>
      </c>
    </row>
    <row r="621" spans="2:14" x14ac:dyDescent="0.25">
      <c r="B621" s="8">
        <v>613</v>
      </c>
      <c r="C621" s="8" t="s">
        <v>122</v>
      </c>
      <c r="D621" s="10">
        <v>46136</v>
      </c>
      <c r="E621" s="8" t="s">
        <v>458</v>
      </c>
      <c r="F621" s="8" t="s">
        <v>23</v>
      </c>
      <c r="G621" s="8">
        <v>280</v>
      </c>
      <c r="H621" s="8">
        <v>0</v>
      </c>
      <c r="I621" s="8">
        <v>-280</v>
      </c>
      <c r="J621" s="8">
        <v>0</v>
      </c>
      <c r="K621" s="8" t="s">
        <v>22</v>
      </c>
      <c r="L621" s="8" t="s">
        <v>5</v>
      </c>
      <c r="M621" s="8">
        <v>2026</v>
      </c>
      <c r="N621" s="8">
        <v>4</v>
      </c>
    </row>
    <row r="622" spans="2:14" x14ac:dyDescent="0.25">
      <c r="B622" s="8">
        <v>614</v>
      </c>
      <c r="C622" s="8" t="s">
        <v>122</v>
      </c>
      <c r="D622" s="10">
        <v>46136</v>
      </c>
      <c r="E622" s="8" t="s">
        <v>459</v>
      </c>
      <c r="F622" s="8" t="s">
        <v>25</v>
      </c>
      <c r="G622" s="8">
        <v>40</v>
      </c>
      <c r="H622" s="8">
        <v>0</v>
      </c>
      <c r="I622" s="8">
        <v>-40</v>
      </c>
      <c r="J622" s="8">
        <v>0</v>
      </c>
      <c r="K622" s="8" t="s">
        <v>22</v>
      </c>
      <c r="L622" s="8" t="s">
        <v>5</v>
      </c>
      <c r="M622" s="8">
        <v>2026</v>
      </c>
      <c r="N622" s="8">
        <v>4</v>
      </c>
    </row>
    <row r="623" spans="2:14" x14ac:dyDescent="0.25">
      <c r="B623" s="8">
        <v>615</v>
      </c>
      <c r="C623" s="8" t="s">
        <v>123</v>
      </c>
      <c r="D623" s="10">
        <v>46136</v>
      </c>
      <c r="E623" s="8" t="s">
        <v>290</v>
      </c>
      <c r="F623" s="8" t="s">
        <v>25</v>
      </c>
      <c r="G623" s="8">
        <v>80</v>
      </c>
      <c r="H623" s="8">
        <v>0</v>
      </c>
      <c r="I623" s="8">
        <v>-80</v>
      </c>
      <c r="J623" s="8">
        <v>0</v>
      </c>
      <c r="K623" s="8" t="s">
        <v>22</v>
      </c>
      <c r="L623" s="8" t="s">
        <v>5</v>
      </c>
      <c r="M623" s="8">
        <v>2026</v>
      </c>
      <c r="N623" s="8">
        <v>4</v>
      </c>
    </row>
    <row r="624" spans="2:14" x14ac:dyDescent="0.25">
      <c r="B624" s="8">
        <v>616</v>
      </c>
      <c r="C624" s="8" t="s">
        <v>123</v>
      </c>
      <c r="D624" s="10">
        <v>46136</v>
      </c>
      <c r="E624" s="8" t="s">
        <v>471</v>
      </c>
      <c r="F624" s="8" t="s">
        <v>25</v>
      </c>
      <c r="G624" s="8">
        <v>150</v>
      </c>
      <c r="H624" s="8">
        <v>0</v>
      </c>
      <c r="I624" s="8">
        <v>-150</v>
      </c>
      <c r="J624" s="8">
        <v>0</v>
      </c>
      <c r="K624" s="8" t="s">
        <v>22</v>
      </c>
      <c r="L624" s="8" t="s">
        <v>5</v>
      </c>
      <c r="M624" s="8">
        <v>2026</v>
      </c>
      <c r="N624" s="8">
        <v>4</v>
      </c>
    </row>
    <row r="625" spans="2:14" x14ac:dyDescent="0.25">
      <c r="B625" s="8">
        <v>617</v>
      </c>
      <c r="C625" s="8" t="s">
        <v>122</v>
      </c>
      <c r="D625" s="10">
        <v>46138</v>
      </c>
      <c r="E625" s="8" t="s">
        <v>185</v>
      </c>
      <c r="F625" s="8" t="s">
        <v>84</v>
      </c>
      <c r="G625" s="8">
        <v>200</v>
      </c>
      <c r="H625" s="8">
        <v>0</v>
      </c>
      <c r="I625" s="8">
        <v>-200</v>
      </c>
      <c r="J625" s="8">
        <v>0</v>
      </c>
      <c r="K625" s="8" t="s">
        <v>38</v>
      </c>
      <c r="L625" s="8" t="s">
        <v>5</v>
      </c>
      <c r="M625" s="8">
        <v>2026</v>
      </c>
      <c r="N625" s="8">
        <v>4</v>
      </c>
    </row>
    <row r="626" spans="2:14" x14ac:dyDescent="0.25">
      <c r="B626" s="8">
        <v>618</v>
      </c>
      <c r="C626" s="8" t="s">
        <v>122</v>
      </c>
      <c r="D626" s="10">
        <v>46138</v>
      </c>
      <c r="E626" s="8" t="s">
        <v>460</v>
      </c>
      <c r="F626" s="8" t="s">
        <v>10</v>
      </c>
      <c r="G626" s="8">
        <v>1050</v>
      </c>
      <c r="H626" s="8">
        <v>0</v>
      </c>
      <c r="I626" s="8">
        <v>-1050</v>
      </c>
      <c r="J626" s="8">
        <v>0</v>
      </c>
      <c r="K626" s="8" t="s">
        <v>9</v>
      </c>
      <c r="L626" s="8" t="s">
        <v>5</v>
      </c>
      <c r="M626" s="8">
        <v>2026</v>
      </c>
      <c r="N626" s="8">
        <v>4</v>
      </c>
    </row>
    <row r="627" spans="2:14" x14ac:dyDescent="0.25">
      <c r="B627" s="8">
        <v>619</v>
      </c>
      <c r="C627" s="8" t="s">
        <v>122</v>
      </c>
      <c r="D627" s="10">
        <v>46139</v>
      </c>
      <c r="E627" s="8" t="s">
        <v>267</v>
      </c>
      <c r="F627" s="8" t="s">
        <v>10</v>
      </c>
      <c r="G627" s="8">
        <v>260</v>
      </c>
      <c r="H627" s="8">
        <v>0</v>
      </c>
      <c r="I627" s="8">
        <v>-260</v>
      </c>
      <c r="J627" s="8">
        <v>0</v>
      </c>
      <c r="K627" s="8" t="s">
        <v>9</v>
      </c>
      <c r="L627" s="8" t="s">
        <v>5</v>
      </c>
      <c r="M627" s="8">
        <v>2026</v>
      </c>
      <c r="N627" s="8">
        <v>4</v>
      </c>
    </row>
    <row r="628" spans="2:14" x14ac:dyDescent="0.25">
      <c r="B628" s="8">
        <v>620</v>
      </c>
      <c r="C628" s="8" t="s">
        <v>122</v>
      </c>
      <c r="D628" s="10">
        <v>46139</v>
      </c>
      <c r="E628" s="8" t="s">
        <v>141</v>
      </c>
      <c r="F628" s="8" t="s">
        <v>21</v>
      </c>
      <c r="G628" s="8">
        <v>559</v>
      </c>
      <c r="H628" s="8">
        <v>0</v>
      </c>
      <c r="I628" s="8">
        <v>-559</v>
      </c>
      <c r="J628" s="8">
        <v>0</v>
      </c>
      <c r="K628" s="8" t="s">
        <v>22</v>
      </c>
      <c r="L628" s="8" t="s">
        <v>5</v>
      </c>
      <c r="M628" s="8">
        <v>2026</v>
      </c>
      <c r="N628" s="8">
        <v>4</v>
      </c>
    </row>
    <row r="629" spans="2:14" x14ac:dyDescent="0.25">
      <c r="B629" s="8">
        <v>621</v>
      </c>
      <c r="C629" s="8" t="s">
        <v>122</v>
      </c>
      <c r="D629" s="10">
        <v>46139</v>
      </c>
      <c r="E629" s="8" t="s">
        <v>461</v>
      </c>
      <c r="F629" s="8" t="s">
        <v>10</v>
      </c>
      <c r="G629" s="8">
        <v>890</v>
      </c>
      <c r="H629" s="8">
        <v>0</v>
      </c>
      <c r="I629" s="8">
        <v>-890</v>
      </c>
      <c r="J629" s="8">
        <v>0</v>
      </c>
      <c r="K629" s="8" t="s">
        <v>9</v>
      </c>
      <c r="L629" s="8" t="s">
        <v>5</v>
      </c>
      <c r="M629" s="8">
        <v>2026</v>
      </c>
      <c r="N629" s="8">
        <v>4</v>
      </c>
    </row>
    <row r="630" spans="2:14" x14ac:dyDescent="0.25">
      <c r="B630" s="8">
        <v>622</v>
      </c>
      <c r="C630" s="8" t="s">
        <v>123</v>
      </c>
      <c r="D630" s="10">
        <v>46139</v>
      </c>
      <c r="E630" s="8" t="s">
        <v>124</v>
      </c>
      <c r="F630" s="8" t="s">
        <v>11</v>
      </c>
      <c r="G630" s="8">
        <v>100</v>
      </c>
      <c r="H630" s="8">
        <v>0</v>
      </c>
      <c r="I630" s="8">
        <v>-100</v>
      </c>
      <c r="J630" s="8">
        <v>0</v>
      </c>
      <c r="K630" s="8" t="s">
        <v>9</v>
      </c>
      <c r="L630" s="8" t="s">
        <v>5</v>
      </c>
      <c r="M630" s="8">
        <v>2026</v>
      </c>
      <c r="N630" s="8">
        <v>4</v>
      </c>
    </row>
    <row r="631" spans="2:14" x14ac:dyDescent="0.25">
      <c r="B631" s="8">
        <v>623</v>
      </c>
      <c r="C631" s="8" t="s">
        <v>122</v>
      </c>
      <c r="D631" s="10">
        <v>46140</v>
      </c>
      <c r="E631" s="8" t="s">
        <v>243</v>
      </c>
      <c r="F631" s="8" t="s">
        <v>21</v>
      </c>
      <c r="G631" s="8">
        <v>30</v>
      </c>
      <c r="H631" s="8">
        <v>0</v>
      </c>
      <c r="I631" s="8">
        <v>-30</v>
      </c>
      <c r="J631" s="8">
        <v>0</v>
      </c>
      <c r="K631" s="8" t="s">
        <v>22</v>
      </c>
      <c r="L631" s="8" t="s">
        <v>5</v>
      </c>
      <c r="M631" s="8">
        <v>2026</v>
      </c>
      <c r="N631" s="8">
        <v>4</v>
      </c>
    </row>
    <row r="632" spans="2:14" x14ac:dyDescent="0.25">
      <c r="B632" s="8">
        <v>624</v>
      </c>
      <c r="C632" s="8" t="s">
        <v>122</v>
      </c>
      <c r="D632" s="10">
        <v>46140</v>
      </c>
      <c r="E632" s="8" t="s">
        <v>358</v>
      </c>
      <c r="F632" s="8" t="s">
        <v>25</v>
      </c>
      <c r="G632" s="8">
        <v>208</v>
      </c>
      <c r="H632" s="8">
        <v>0</v>
      </c>
      <c r="I632" s="8">
        <v>-208</v>
      </c>
      <c r="J632" s="8">
        <v>0</v>
      </c>
      <c r="K632" s="8" t="s">
        <v>22</v>
      </c>
      <c r="L632" s="8" t="s">
        <v>5</v>
      </c>
      <c r="M632" s="8">
        <v>2026</v>
      </c>
      <c r="N632" s="8">
        <v>4</v>
      </c>
    </row>
    <row r="633" spans="2:14" x14ac:dyDescent="0.25">
      <c r="B633" s="8">
        <v>625</v>
      </c>
      <c r="C633" s="8" t="s">
        <v>122</v>
      </c>
      <c r="D633" s="10">
        <v>46140</v>
      </c>
      <c r="E633" s="8" t="s">
        <v>462</v>
      </c>
      <c r="F633" s="8" t="s">
        <v>25</v>
      </c>
      <c r="G633" s="8">
        <v>360</v>
      </c>
      <c r="H633" s="8">
        <v>0</v>
      </c>
      <c r="I633" s="8">
        <v>-360</v>
      </c>
      <c r="J633" s="8">
        <v>0</v>
      </c>
      <c r="K633" s="8" t="s">
        <v>22</v>
      </c>
      <c r="L633" s="8" t="s">
        <v>5</v>
      </c>
      <c r="M633" s="8">
        <v>2026</v>
      </c>
      <c r="N633" s="8">
        <v>4</v>
      </c>
    </row>
    <row r="634" spans="2:14" x14ac:dyDescent="0.25">
      <c r="B634" s="8">
        <v>626</v>
      </c>
      <c r="C634" s="8" t="s">
        <v>122</v>
      </c>
      <c r="D634" s="10">
        <v>46140</v>
      </c>
      <c r="E634" s="8" t="s">
        <v>463</v>
      </c>
      <c r="F634" s="8" t="s">
        <v>7</v>
      </c>
      <c r="G634" s="8">
        <v>200</v>
      </c>
      <c r="H634" s="8">
        <v>0</v>
      </c>
      <c r="I634" s="8">
        <v>-200</v>
      </c>
      <c r="J634" s="8">
        <v>0</v>
      </c>
      <c r="K634" s="8" t="s">
        <v>4</v>
      </c>
      <c r="L634" s="8" t="s">
        <v>5</v>
      </c>
      <c r="M634" s="8">
        <v>2026</v>
      </c>
      <c r="N634" s="8">
        <v>4</v>
      </c>
    </row>
    <row r="635" spans="2:14" x14ac:dyDescent="0.25">
      <c r="B635" s="8">
        <v>627</v>
      </c>
      <c r="C635" s="8" t="s">
        <v>122</v>
      </c>
      <c r="D635" s="10">
        <v>46140</v>
      </c>
      <c r="E635" s="8" t="s">
        <v>464</v>
      </c>
      <c r="F635" s="8" t="s">
        <v>15</v>
      </c>
      <c r="G635" s="8">
        <v>1149</v>
      </c>
      <c r="H635" s="8">
        <v>0</v>
      </c>
      <c r="I635" s="8">
        <v>-1149</v>
      </c>
      <c r="J635" s="8">
        <v>0</v>
      </c>
      <c r="K635" s="8" t="s">
        <v>16</v>
      </c>
      <c r="L635" s="8" t="s">
        <v>5</v>
      </c>
      <c r="M635" s="8">
        <v>2026</v>
      </c>
      <c r="N635" s="8">
        <v>4</v>
      </c>
    </row>
    <row r="636" spans="2:14" x14ac:dyDescent="0.25">
      <c r="B636" s="8">
        <v>628</v>
      </c>
      <c r="C636" s="8" t="s">
        <v>122</v>
      </c>
      <c r="D636" s="10">
        <v>46140</v>
      </c>
      <c r="E636" s="8" t="s">
        <v>319</v>
      </c>
      <c r="F636" s="8" t="s">
        <v>25</v>
      </c>
      <c r="G636" s="8">
        <v>80</v>
      </c>
      <c r="H636" s="8">
        <v>0</v>
      </c>
      <c r="I636" s="8">
        <v>-80</v>
      </c>
      <c r="J636" s="8">
        <v>0</v>
      </c>
      <c r="K636" s="8" t="s">
        <v>22</v>
      </c>
      <c r="L636" s="8" t="s">
        <v>5</v>
      </c>
      <c r="M636" s="8">
        <v>2026</v>
      </c>
      <c r="N636" s="8">
        <v>4</v>
      </c>
    </row>
    <row r="637" spans="2:14" x14ac:dyDescent="0.25">
      <c r="B637" s="8">
        <v>629</v>
      </c>
      <c r="C637" s="8" t="s">
        <v>122</v>
      </c>
      <c r="D637" s="10">
        <v>46141</v>
      </c>
      <c r="E637" s="8" t="s">
        <v>243</v>
      </c>
      <c r="F637" s="8" t="s">
        <v>21</v>
      </c>
      <c r="G637" s="8">
        <v>26</v>
      </c>
      <c r="H637" s="8">
        <v>0</v>
      </c>
      <c r="I637" s="8">
        <v>-26</v>
      </c>
      <c r="J637" s="8">
        <v>0</v>
      </c>
      <c r="K637" s="8" t="s">
        <v>22</v>
      </c>
      <c r="L637" s="8" t="s">
        <v>5</v>
      </c>
      <c r="M637" s="8">
        <v>2026</v>
      </c>
      <c r="N637" s="8">
        <v>4</v>
      </c>
    </row>
    <row r="638" spans="2:14" x14ac:dyDescent="0.25">
      <c r="B638" s="8">
        <v>630</v>
      </c>
      <c r="C638" s="8" t="s">
        <v>122</v>
      </c>
      <c r="D638" s="10">
        <v>46141</v>
      </c>
      <c r="E638" s="8" t="s">
        <v>207</v>
      </c>
      <c r="F638" s="8" t="s">
        <v>25</v>
      </c>
      <c r="G638" s="8">
        <v>670</v>
      </c>
      <c r="H638" s="8">
        <v>0</v>
      </c>
      <c r="I638" s="8">
        <v>-670</v>
      </c>
      <c r="J638" s="8">
        <v>0</v>
      </c>
      <c r="K638" s="8" t="s">
        <v>22</v>
      </c>
      <c r="L638" s="8" t="s">
        <v>5</v>
      </c>
      <c r="M638" s="8">
        <v>2026</v>
      </c>
      <c r="N638" s="8">
        <v>4</v>
      </c>
    </row>
    <row r="639" spans="2:14" x14ac:dyDescent="0.25">
      <c r="B639" s="8">
        <v>631</v>
      </c>
      <c r="C639" s="8" t="s">
        <v>122</v>
      </c>
      <c r="D639" s="10">
        <v>46141</v>
      </c>
      <c r="E639" s="8" t="s">
        <v>135</v>
      </c>
      <c r="F639" s="8" t="s">
        <v>25</v>
      </c>
      <c r="G639" s="8">
        <v>30</v>
      </c>
      <c r="H639" s="8">
        <v>0</v>
      </c>
      <c r="I639" s="8">
        <v>-30</v>
      </c>
      <c r="J639" s="8">
        <v>0</v>
      </c>
      <c r="K639" s="8" t="s">
        <v>22</v>
      </c>
      <c r="L639" s="8" t="s">
        <v>5</v>
      </c>
      <c r="M639" s="8">
        <v>2026</v>
      </c>
      <c r="N639" s="8">
        <v>4</v>
      </c>
    </row>
    <row r="640" spans="2:14" x14ac:dyDescent="0.25">
      <c r="B640" s="8">
        <v>632</v>
      </c>
      <c r="C640" s="8" t="s">
        <v>122</v>
      </c>
      <c r="D640" s="10">
        <v>46141</v>
      </c>
      <c r="E640" s="8" t="s">
        <v>147</v>
      </c>
      <c r="F640" s="8" t="s">
        <v>25</v>
      </c>
      <c r="G640" s="8">
        <v>30</v>
      </c>
      <c r="H640" s="8">
        <v>0</v>
      </c>
      <c r="I640" s="8">
        <v>-30</v>
      </c>
      <c r="J640" s="8">
        <v>0</v>
      </c>
      <c r="K640" s="8" t="s">
        <v>22</v>
      </c>
      <c r="L640" s="8" t="s">
        <v>5</v>
      </c>
      <c r="M640" s="8">
        <v>2026</v>
      </c>
      <c r="N640" s="8">
        <v>4</v>
      </c>
    </row>
    <row r="641" spans="2:14" x14ac:dyDescent="0.25">
      <c r="B641" s="8">
        <v>633</v>
      </c>
      <c r="C641" s="8" t="s">
        <v>122</v>
      </c>
      <c r="D641" s="10">
        <v>46141</v>
      </c>
      <c r="E641" s="8" t="s">
        <v>203</v>
      </c>
      <c r="F641" s="8" t="s">
        <v>25</v>
      </c>
      <c r="G641" s="8">
        <v>70</v>
      </c>
      <c r="H641" s="8">
        <v>0</v>
      </c>
      <c r="I641" s="8">
        <v>-70</v>
      </c>
      <c r="J641" s="8">
        <v>0</v>
      </c>
      <c r="K641" s="8" t="s">
        <v>22</v>
      </c>
      <c r="L641" s="8" t="s">
        <v>5</v>
      </c>
      <c r="M641" s="8">
        <v>2026</v>
      </c>
      <c r="N641" s="8">
        <v>4</v>
      </c>
    </row>
    <row r="642" spans="2:14" x14ac:dyDescent="0.25">
      <c r="B642" s="8">
        <v>634</v>
      </c>
      <c r="C642" s="8" t="s">
        <v>123</v>
      </c>
      <c r="D642" s="10">
        <v>46141</v>
      </c>
      <c r="E642" s="8" t="s">
        <v>124</v>
      </c>
      <c r="F642" s="8" t="s">
        <v>36</v>
      </c>
      <c r="G642" s="8">
        <v>12000</v>
      </c>
      <c r="H642" s="8">
        <v>0</v>
      </c>
      <c r="I642" s="8">
        <v>-12000</v>
      </c>
      <c r="J642" s="8">
        <v>0</v>
      </c>
      <c r="K642" s="8" t="s">
        <v>34</v>
      </c>
      <c r="L642" s="8" t="s">
        <v>35</v>
      </c>
      <c r="M642" s="8">
        <v>2026</v>
      </c>
      <c r="N642" s="8">
        <v>4</v>
      </c>
    </row>
    <row r="643" spans="2:14" x14ac:dyDescent="0.25">
      <c r="B643" s="8">
        <v>635</v>
      </c>
      <c r="C643" s="8" t="s">
        <v>122</v>
      </c>
      <c r="D643" s="10">
        <v>46142</v>
      </c>
      <c r="E643" s="8" t="s">
        <v>504</v>
      </c>
      <c r="F643" s="8" t="s">
        <v>410</v>
      </c>
      <c r="G643" s="8">
        <v>0</v>
      </c>
      <c r="H643" s="8">
        <v>4800</v>
      </c>
      <c r="I643" s="8">
        <v>4800</v>
      </c>
      <c r="J643" s="8">
        <v>0</v>
      </c>
      <c r="K643" s="8" t="s">
        <v>417</v>
      </c>
      <c r="L643" s="8" t="s">
        <v>44</v>
      </c>
      <c r="M643" s="8">
        <v>2026</v>
      </c>
      <c r="N643" s="8">
        <v>4</v>
      </c>
    </row>
    <row r="644" spans="2:14" x14ac:dyDescent="0.25">
      <c r="B644" s="8">
        <v>636</v>
      </c>
      <c r="C644" s="8" t="s">
        <v>122</v>
      </c>
      <c r="D644" s="10">
        <v>46142</v>
      </c>
      <c r="E644" s="8" t="s">
        <v>243</v>
      </c>
      <c r="F644" s="8" t="s">
        <v>21</v>
      </c>
      <c r="G644" s="8">
        <v>37</v>
      </c>
      <c r="H644" s="8">
        <v>0</v>
      </c>
      <c r="I644" s="8">
        <v>-37</v>
      </c>
      <c r="J644" s="8">
        <v>0</v>
      </c>
      <c r="K644" s="8" t="s">
        <v>22</v>
      </c>
      <c r="L644" s="8" t="s">
        <v>5</v>
      </c>
      <c r="M644" s="8">
        <v>2026</v>
      </c>
      <c r="N644" s="8">
        <v>4</v>
      </c>
    </row>
    <row r="645" spans="2:14" x14ac:dyDescent="0.25">
      <c r="B645" s="8">
        <v>637</v>
      </c>
      <c r="C645" s="8" t="s">
        <v>122</v>
      </c>
      <c r="D645" s="10">
        <v>46142</v>
      </c>
      <c r="E645" s="8" t="s">
        <v>395</v>
      </c>
      <c r="F645" s="8" t="s">
        <v>10</v>
      </c>
      <c r="G645" s="8">
        <v>324</v>
      </c>
      <c r="H645" s="8">
        <v>0</v>
      </c>
      <c r="I645" s="8">
        <v>-324</v>
      </c>
      <c r="J645" s="8">
        <v>0</v>
      </c>
      <c r="K645" s="8" t="s">
        <v>9</v>
      </c>
      <c r="L645" s="8" t="s">
        <v>5</v>
      </c>
      <c r="M645" s="8">
        <v>2026</v>
      </c>
      <c r="N645" s="8">
        <v>4</v>
      </c>
    </row>
    <row r="646" spans="2:14" x14ac:dyDescent="0.25">
      <c r="B646" s="8">
        <v>638</v>
      </c>
      <c r="C646" s="8" t="s">
        <v>122</v>
      </c>
      <c r="D646" s="10">
        <v>46142</v>
      </c>
      <c r="E646" s="8" t="s">
        <v>465</v>
      </c>
      <c r="F646" s="8" t="s">
        <v>21</v>
      </c>
      <c r="G646" s="8">
        <v>10</v>
      </c>
      <c r="H646" s="8">
        <v>0</v>
      </c>
      <c r="I646" s="8">
        <v>-10</v>
      </c>
      <c r="J646" s="8">
        <v>0</v>
      </c>
      <c r="K646" s="8" t="s">
        <v>22</v>
      </c>
      <c r="L646" s="8" t="s">
        <v>5</v>
      </c>
      <c r="M646" s="8">
        <v>2026</v>
      </c>
      <c r="N646" s="8">
        <v>4</v>
      </c>
    </row>
    <row r="647" spans="2:14" x14ac:dyDescent="0.25">
      <c r="B647" s="8">
        <v>639</v>
      </c>
      <c r="C647" s="8" t="s">
        <v>122</v>
      </c>
      <c r="D647" s="10">
        <v>46142</v>
      </c>
      <c r="E647" s="8" t="s">
        <v>466</v>
      </c>
      <c r="F647" s="8" t="s">
        <v>10</v>
      </c>
      <c r="G647" s="8">
        <v>220</v>
      </c>
      <c r="H647" s="8">
        <v>0</v>
      </c>
      <c r="I647" s="8">
        <v>-220</v>
      </c>
      <c r="J647" s="8">
        <v>0</v>
      </c>
      <c r="K647" s="8" t="s">
        <v>9</v>
      </c>
      <c r="L647" s="8" t="s">
        <v>5</v>
      </c>
      <c r="M647" s="8">
        <v>2026</v>
      </c>
      <c r="N647" s="8">
        <v>4</v>
      </c>
    </row>
    <row r="648" spans="2:14" x14ac:dyDescent="0.25">
      <c r="B648" s="8">
        <v>640</v>
      </c>
      <c r="C648" s="8" t="s">
        <v>122</v>
      </c>
      <c r="D648" s="10">
        <v>46142</v>
      </c>
      <c r="E648" s="8" t="s">
        <v>467</v>
      </c>
      <c r="F648" s="8" t="s">
        <v>25</v>
      </c>
      <c r="G648" s="8">
        <v>10</v>
      </c>
      <c r="H648" s="8">
        <v>0</v>
      </c>
      <c r="I648" s="8">
        <v>-10</v>
      </c>
      <c r="J648" s="8">
        <v>0</v>
      </c>
      <c r="K648" s="8" t="s">
        <v>22</v>
      </c>
      <c r="L648" s="8" t="s">
        <v>5</v>
      </c>
      <c r="M648" s="8">
        <v>2026</v>
      </c>
      <c r="N648" s="8">
        <v>4</v>
      </c>
    </row>
    <row r="649" spans="2:14" x14ac:dyDescent="0.25">
      <c r="B649" s="8">
        <v>641</v>
      </c>
      <c r="C649" s="8" t="s">
        <v>122</v>
      </c>
      <c r="D649" s="10">
        <v>46142</v>
      </c>
      <c r="E649" s="8" t="s">
        <v>395</v>
      </c>
      <c r="F649" s="8" t="s">
        <v>10</v>
      </c>
      <c r="G649" s="8">
        <v>120</v>
      </c>
      <c r="H649" s="8">
        <v>0</v>
      </c>
      <c r="I649" s="8">
        <v>-120</v>
      </c>
      <c r="J649" s="8">
        <v>0</v>
      </c>
      <c r="K649" s="8" t="s">
        <v>9</v>
      </c>
      <c r="L649" s="8" t="s">
        <v>5</v>
      </c>
      <c r="M649" s="8">
        <v>2026</v>
      </c>
      <c r="N649" s="8">
        <v>4</v>
      </c>
    </row>
    <row r="650" spans="2:14" x14ac:dyDescent="0.25">
      <c r="B650" s="8">
        <v>642</v>
      </c>
      <c r="C650" s="8" t="s">
        <v>122</v>
      </c>
      <c r="D650" s="10">
        <v>46142</v>
      </c>
      <c r="E650" s="8" t="s">
        <v>468</v>
      </c>
      <c r="F650" s="8" t="s">
        <v>15</v>
      </c>
      <c r="G650" s="8">
        <v>1103</v>
      </c>
      <c r="H650" s="8">
        <v>0</v>
      </c>
      <c r="I650" s="8">
        <v>-1103</v>
      </c>
      <c r="J650" s="8">
        <v>0</v>
      </c>
      <c r="K650" s="8" t="s">
        <v>16</v>
      </c>
      <c r="L650" s="8" t="s">
        <v>5</v>
      </c>
      <c r="M650" s="8">
        <v>2026</v>
      </c>
      <c r="N650" s="8">
        <v>4</v>
      </c>
    </row>
    <row r="651" spans="2:14" x14ac:dyDescent="0.25">
      <c r="B651" s="8">
        <v>643</v>
      </c>
      <c r="C651" s="8" t="s">
        <v>122</v>
      </c>
      <c r="D651" s="10">
        <v>46143</v>
      </c>
      <c r="E651" s="8" t="s">
        <v>495</v>
      </c>
      <c r="F651" s="8" t="s">
        <v>85</v>
      </c>
      <c r="G651" s="8">
        <v>0</v>
      </c>
      <c r="H651" s="8">
        <v>57640</v>
      </c>
      <c r="I651" s="8">
        <v>57640</v>
      </c>
      <c r="J651" s="8">
        <v>0</v>
      </c>
      <c r="K651" s="8" t="s">
        <v>43</v>
      </c>
      <c r="L651" s="8" t="s">
        <v>44</v>
      </c>
      <c r="M651" s="8">
        <v>2026</v>
      </c>
      <c r="N651" s="8">
        <v>5</v>
      </c>
    </row>
    <row r="652" spans="2:14" x14ac:dyDescent="0.25">
      <c r="B652" s="8">
        <v>644</v>
      </c>
      <c r="C652" s="8" t="s">
        <v>122</v>
      </c>
      <c r="D652" s="10">
        <v>46143</v>
      </c>
      <c r="E652" s="8" t="s">
        <v>496</v>
      </c>
      <c r="F652" s="8" t="s">
        <v>86</v>
      </c>
      <c r="G652" s="8">
        <v>0</v>
      </c>
      <c r="H652" s="8">
        <v>48500</v>
      </c>
      <c r="I652" s="8">
        <v>48500</v>
      </c>
      <c r="J652" s="8">
        <v>0</v>
      </c>
      <c r="K652" s="8" t="s">
        <v>43</v>
      </c>
      <c r="L652" s="8" t="s">
        <v>44</v>
      </c>
      <c r="M652" s="8">
        <v>2026</v>
      </c>
      <c r="N652" s="8">
        <v>5</v>
      </c>
    </row>
    <row r="653" spans="2:14" x14ac:dyDescent="0.25">
      <c r="B653" s="8">
        <v>645</v>
      </c>
      <c r="C653" s="8" t="s">
        <v>122</v>
      </c>
      <c r="D653" s="10">
        <v>46143</v>
      </c>
      <c r="E653" s="8" t="s">
        <v>423</v>
      </c>
      <c r="F653" s="8" t="s">
        <v>10</v>
      </c>
      <c r="G653" s="8">
        <v>1065</v>
      </c>
      <c r="H653" s="8">
        <v>0</v>
      </c>
      <c r="I653" s="8">
        <v>-1065</v>
      </c>
      <c r="J653" s="8">
        <v>0</v>
      </c>
      <c r="K653" s="8" t="s">
        <v>9</v>
      </c>
      <c r="L653" s="8" t="s">
        <v>5</v>
      </c>
      <c r="M653" s="8">
        <v>2026</v>
      </c>
      <c r="N653" s="8">
        <v>5</v>
      </c>
    </row>
    <row r="654" spans="2:14" x14ac:dyDescent="0.25">
      <c r="B654" s="8">
        <v>646</v>
      </c>
      <c r="C654" s="8" t="s">
        <v>122</v>
      </c>
      <c r="D654" s="10">
        <v>46143</v>
      </c>
      <c r="E654" s="8" t="s">
        <v>139</v>
      </c>
      <c r="F654" s="8" t="s">
        <v>3</v>
      </c>
      <c r="G654" s="8">
        <v>15500</v>
      </c>
      <c r="H654" s="8">
        <v>0</v>
      </c>
      <c r="I654" s="8">
        <v>-15500</v>
      </c>
      <c r="J654" s="8">
        <v>0</v>
      </c>
      <c r="K654" s="8" t="s">
        <v>4</v>
      </c>
      <c r="L654" s="8" t="s">
        <v>5</v>
      </c>
      <c r="M654" s="8">
        <v>2026</v>
      </c>
      <c r="N654" s="8">
        <v>5</v>
      </c>
    </row>
    <row r="655" spans="2:14" x14ac:dyDescent="0.25">
      <c r="B655" s="8">
        <v>647</v>
      </c>
      <c r="C655" s="8" t="s">
        <v>122</v>
      </c>
      <c r="D655" s="10">
        <v>46143</v>
      </c>
      <c r="E655" s="8" t="s">
        <v>81</v>
      </c>
      <c r="F655" s="8" t="s">
        <v>81</v>
      </c>
      <c r="G655" s="8">
        <v>250</v>
      </c>
      <c r="H655" s="8">
        <v>0</v>
      </c>
      <c r="I655" s="8">
        <v>-250</v>
      </c>
      <c r="J655" s="8">
        <v>0</v>
      </c>
      <c r="K655" s="8" t="s">
        <v>4</v>
      </c>
      <c r="L655" s="8" t="s">
        <v>5</v>
      </c>
      <c r="M655" s="8">
        <v>2026</v>
      </c>
      <c r="N655" s="8">
        <v>5</v>
      </c>
    </row>
    <row r="656" spans="2:14" x14ac:dyDescent="0.25">
      <c r="B656" s="8">
        <v>648</v>
      </c>
      <c r="C656" s="8" t="s">
        <v>122</v>
      </c>
      <c r="D656" s="10">
        <v>46143</v>
      </c>
      <c r="E656" s="8" t="s">
        <v>6</v>
      </c>
      <c r="F656" s="8" t="s">
        <v>6</v>
      </c>
      <c r="G656" s="8">
        <v>817</v>
      </c>
      <c r="H656" s="8">
        <v>0</v>
      </c>
      <c r="I656" s="8">
        <v>-817</v>
      </c>
      <c r="J656" s="8">
        <v>0</v>
      </c>
      <c r="K656" s="8" t="s">
        <v>4</v>
      </c>
      <c r="L656" s="8" t="s">
        <v>5</v>
      </c>
      <c r="M656" s="8">
        <v>2026</v>
      </c>
      <c r="N656" s="8">
        <v>5</v>
      </c>
    </row>
    <row r="657" spans="2:14" x14ac:dyDescent="0.25">
      <c r="B657" s="8">
        <v>649</v>
      </c>
      <c r="C657" s="8" t="s">
        <v>122</v>
      </c>
      <c r="D657" s="10">
        <v>46144</v>
      </c>
      <c r="E657" s="8" t="s">
        <v>469</v>
      </c>
      <c r="F657" s="8" t="s">
        <v>12</v>
      </c>
      <c r="G657" s="8">
        <v>200</v>
      </c>
      <c r="H657" s="8">
        <v>0</v>
      </c>
      <c r="I657" s="8">
        <v>-200</v>
      </c>
      <c r="J657" s="8">
        <v>0</v>
      </c>
      <c r="K657" s="8" t="s">
        <v>13</v>
      </c>
      <c r="L657" s="8" t="s">
        <v>5</v>
      </c>
      <c r="M657" s="8">
        <v>2026</v>
      </c>
      <c r="N657" s="8">
        <v>5</v>
      </c>
    </row>
    <row r="658" spans="2:14" x14ac:dyDescent="0.25">
      <c r="B658" s="8">
        <v>650</v>
      </c>
      <c r="C658" s="8" t="s">
        <v>122</v>
      </c>
      <c r="D658" s="10">
        <v>46144</v>
      </c>
      <c r="E658" s="8" t="s">
        <v>469</v>
      </c>
      <c r="F658" s="8" t="s">
        <v>12</v>
      </c>
      <c r="G658" s="8">
        <v>1000</v>
      </c>
      <c r="H658" s="8">
        <v>0</v>
      </c>
      <c r="I658" s="8">
        <v>-1000</v>
      </c>
      <c r="J658" s="8">
        <v>0</v>
      </c>
      <c r="K658" s="8" t="s">
        <v>13</v>
      </c>
      <c r="L658" s="8" t="s">
        <v>5</v>
      </c>
      <c r="M658" s="8">
        <v>2026</v>
      </c>
      <c r="N658" s="8">
        <v>5</v>
      </c>
    </row>
    <row r="659" spans="2:14" x14ac:dyDescent="0.25">
      <c r="B659" s="8">
        <v>651</v>
      </c>
      <c r="C659" s="8" t="s">
        <v>122</v>
      </c>
      <c r="D659" s="10">
        <v>46144</v>
      </c>
      <c r="E659" s="8" t="s">
        <v>469</v>
      </c>
      <c r="F659" s="8" t="s">
        <v>12</v>
      </c>
      <c r="G659" s="8">
        <v>750</v>
      </c>
      <c r="H659" s="8">
        <v>0</v>
      </c>
      <c r="I659" s="8">
        <v>-750</v>
      </c>
      <c r="J659" s="8">
        <v>0</v>
      </c>
      <c r="K659" s="8" t="s">
        <v>13</v>
      </c>
      <c r="L659" s="8" t="s">
        <v>5</v>
      </c>
      <c r="M659" s="8">
        <v>2026</v>
      </c>
      <c r="N659" s="8">
        <v>5</v>
      </c>
    </row>
    <row r="660" spans="2:14" x14ac:dyDescent="0.25">
      <c r="B660" s="8">
        <v>652</v>
      </c>
      <c r="C660" s="8" t="s">
        <v>122</v>
      </c>
      <c r="D660" s="10">
        <v>46144</v>
      </c>
      <c r="E660" s="8" t="s">
        <v>469</v>
      </c>
      <c r="F660" s="8" t="s">
        <v>12</v>
      </c>
      <c r="G660" s="8">
        <v>483</v>
      </c>
      <c r="H660" s="8">
        <v>0</v>
      </c>
      <c r="I660" s="8">
        <v>-483</v>
      </c>
      <c r="J660" s="8">
        <v>0</v>
      </c>
      <c r="K660" s="8" t="s">
        <v>13</v>
      </c>
      <c r="L660" s="8" t="s">
        <v>5</v>
      </c>
      <c r="M660" s="8">
        <v>2026</v>
      </c>
      <c r="N660" s="8">
        <v>5</v>
      </c>
    </row>
    <row r="661" spans="2:14" x14ac:dyDescent="0.25">
      <c r="B661" s="8">
        <v>653</v>
      </c>
      <c r="C661" s="8" t="s">
        <v>122</v>
      </c>
      <c r="D661" s="10">
        <v>46144</v>
      </c>
      <c r="E661" s="8" t="s">
        <v>478</v>
      </c>
      <c r="F661" s="8" t="s">
        <v>10</v>
      </c>
      <c r="G661" s="8">
        <v>1500</v>
      </c>
      <c r="H661" s="8">
        <v>0</v>
      </c>
      <c r="I661" s="8">
        <v>-1500</v>
      </c>
      <c r="J661" s="8">
        <v>0</v>
      </c>
      <c r="K661" s="8" t="s">
        <v>9</v>
      </c>
      <c r="L661" s="8" t="s">
        <v>5</v>
      </c>
      <c r="M661" s="8">
        <v>2026</v>
      </c>
      <c r="N661" s="8">
        <v>5</v>
      </c>
    </row>
    <row r="662" spans="2:14" x14ac:dyDescent="0.25">
      <c r="B662" s="8">
        <v>654</v>
      </c>
      <c r="C662" s="8" t="s">
        <v>123</v>
      </c>
      <c r="D662" s="10">
        <v>46144</v>
      </c>
      <c r="E662" s="8" t="s">
        <v>473</v>
      </c>
      <c r="F662" s="8" t="s">
        <v>419</v>
      </c>
      <c r="G662" s="8">
        <v>0</v>
      </c>
      <c r="H662" s="8">
        <v>3000</v>
      </c>
      <c r="I662" s="8">
        <v>3000</v>
      </c>
      <c r="J662" s="8">
        <v>0</v>
      </c>
      <c r="K662" s="8" t="s">
        <v>417</v>
      </c>
      <c r="L662" s="8" t="s">
        <v>44</v>
      </c>
      <c r="M662" s="8">
        <v>2026</v>
      </c>
      <c r="N662" s="8">
        <v>5</v>
      </c>
    </row>
    <row r="663" spans="2:14" x14ac:dyDescent="0.25">
      <c r="B663" s="8">
        <v>655</v>
      </c>
      <c r="C663" s="8" t="s">
        <v>122</v>
      </c>
      <c r="D663" s="10">
        <v>46145</v>
      </c>
      <c r="E663" s="8" t="s">
        <v>278</v>
      </c>
      <c r="F663" s="8" t="s">
        <v>21</v>
      </c>
      <c r="G663" s="8">
        <v>80</v>
      </c>
      <c r="H663" s="8">
        <v>0</v>
      </c>
      <c r="I663" s="8">
        <v>-80</v>
      </c>
      <c r="J663" s="8">
        <v>0</v>
      </c>
      <c r="K663" s="8" t="s">
        <v>22</v>
      </c>
      <c r="L663" s="8" t="s">
        <v>5</v>
      </c>
      <c r="M663" s="8">
        <v>2026</v>
      </c>
      <c r="N663" s="8">
        <v>5</v>
      </c>
    </row>
    <row r="664" spans="2:14" x14ac:dyDescent="0.25">
      <c r="B664" s="8">
        <v>656</v>
      </c>
      <c r="C664" s="8" t="s">
        <v>122</v>
      </c>
      <c r="D664" s="10">
        <v>46146</v>
      </c>
      <c r="E664" s="8" t="s">
        <v>158</v>
      </c>
      <c r="F664" s="8" t="s">
        <v>8</v>
      </c>
      <c r="G664" s="8">
        <v>100</v>
      </c>
      <c r="H664" s="8">
        <v>0</v>
      </c>
      <c r="I664" s="8">
        <v>-100</v>
      </c>
      <c r="J664" s="8">
        <v>0</v>
      </c>
      <c r="K664" s="8" t="s">
        <v>9</v>
      </c>
      <c r="L664" s="8" t="s">
        <v>5</v>
      </c>
      <c r="M664" s="8">
        <v>2026</v>
      </c>
      <c r="N664" s="8">
        <v>5</v>
      </c>
    </row>
    <row r="665" spans="2:14" x14ac:dyDescent="0.25">
      <c r="B665" s="8">
        <v>657</v>
      </c>
      <c r="C665" s="8" t="s">
        <v>122</v>
      </c>
      <c r="D665" s="10">
        <v>46146</v>
      </c>
      <c r="E665" s="8" t="s">
        <v>469</v>
      </c>
      <c r="F665" s="8" t="s">
        <v>12</v>
      </c>
      <c r="G665" s="8">
        <v>300</v>
      </c>
      <c r="H665" s="8">
        <v>0</v>
      </c>
      <c r="I665" s="8">
        <v>-300</v>
      </c>
      <c r="J665" s="8">
        <v>0</v>
      </c>
      <c r="K665" s="8" t="s">
        <v>13</v>
      </c>
      <c r="L665" s="8" t="s">
        <v>5</v>
      </c>
      <c r="M665" s="8">
        <v>2026</v>
      </c>
      <c r="N665" s="8">
        <v>5</v>
      </c>
    </row>
    <row r="666" spans="2:14" x14ac:dyDescent="0.25">
      <c r="B666" s="8">
        <v>658</v>
      </c>
      <c r="C666" s="8" t="s">
        <v>122</v>
      </c>
      <c r="D666" s="10">
        <v>46146</v>
      </c>
      <c r="E666" s="8" t="s">
        <v>469</v>
      </c>
      <c r="F666" s="8" t="s">
        <v>12</v>
      </c>
      <c r="G666" s="8">
        <v>454</v>
      </c>
      <c r="H666" s="8">
        <v>0</v>
      </c>
      <c r="I666" s="8">
        <v>-454</v>
      </c>
      <c r="J666" s="8">
        <v>0</v>
      </c>
      <c r="K666" s="8" t="s">
        <v>13</v>
      </c>
      <c r="L666" s="8" t="s">
        <v>5</v>
      </c>
      <c r="M666" s="8">
        <v>2026</v>
      </c>
      <c r="N666" s="8">
        <v>5</v>
      </c>
    </row>
    <row r="667" spans="2:14" x14ac:dyDescent="0.25">
      <c r="B667" s="8">
        <v>659</v>
      </c>
      <c r="C667" s="8" t="s">
        <v>122</v>
      </c>
      <c r="D667" s="10">
        <v>46146</v>
      </c>
      <c r="E667" s="8" t="s">
        <v>474</v>
      </c>
      <c r="F667" s="8" t="s">
        <v>25</v>
      </c>
      <c r="G667" s="8">
        <v>175</v>
      </c>
      <c r="H667" s="8">
        <v>0</v>
      </c>
      <c r="I667" s="8">
        <v>-175</v>
      </c>
      <c r="J667" s="8">
        <v>0</v>
      </c>
      <c r="K667" s="8" t="s">
        <v>22</v>
      </c>
      <c r="L667" s="8" t="s">
        <v>5</v>
      </c>
      <c r="M667" s="8">
        <v>2026</v>
      </c>
      <c r="N667" s="8">
        <v>5</v>
      </c>
    </row>
    <row r="668" spans="2:14" x14ac:dyDescent="0.25">
      <c r="B668" s="8">
        <v>660</v>
      </c>
      <c r="C668" s="8" t="s">
        <v>122</v>
      </c>
      <c r="D668" s="10">
        <v>46146</v>
      </c>
      <c r="E668" s="8" t="s">
        <v>475</v>
      </c>
      <c r="F668" s="8" t="s">
        <v>25</v>
      </c>
      <c r="G668" s="8">
        <v>340</v>
      </c>
      <c r="H668" s="8">
        <v>0</v>
      </c>
      <c r="I668" s="8">
        <v>-340</v>
      </c>
      <c r="J668" s="8">
        <v>0</v>
      </c>
      <c r="K668" s="8" t="s">
        <v>22</v>
      </c>
      <c r="L668" s="8" t="s">
        <v>5</v>
      </c>
      <c r="M668" s="8">
        <v>2026</v>
      </c>
      <c r="N668" s="8">
        <v>5</v>
      </c>
    </row>
    <row r="669" spans="2:14" x14ac:dyDescent="0.25">
      <c r="B669" s="8">
        <v>661</v>
      </c>
      <c r="C669" s="8" t="s">
        <v>122</v>
      </c>
      <c r="D669" s="10">
        <v>46146</v>
      </c>
      <c r="E669" s="8" t="s">
        <v>476</v>
      </c>
      <c r="F669" s="8" t="s">
        <v>10</v>
      </c>
      <c r="G669" s="8">
        <v>1945</v>
      </c>
      <c r="H669" s="8">
        <v>0</v>
      </c>
      <c r="I669" s="8">
        <v>-1945</v>
      </c>
      <c r="J669" s="8">
        <v>0</v>
      </c>
      <c r="K669" s="8" t="s">
        <v>9</v>
      </c>
      <c r="L669" s="8" t="s">
        <v>5</v>
      </c>
      <c r="M669" s="8">
        <v>2026</v>
      </c>
      <c r="N669" s="8">
        <v>5</v>
      </c>
    </row>
    <row r="670" spans="2:14" x14ac:dyDescent="0.25">
      <c r="B670" s="8">
        <v>662</v>
      </c>
      <c r="C670" s="8" t="s">
        <v>122</v>
      </c>
      <c r="D670" s="10">
        <v>46147</v>
      </c>
      <c r="E670" s="8" t="s">
        <v>479</v>
      </c>
      <c r="F670" s="8" t="s">
        <v>408</v>
      </c>
      <c r="G670" s="8">
        <v>3395</v>
      </c>
      <c r="H670" s="8">
        <v>0</v>
      </c>
      <c r="I670" s="8">
        <v>-3395</v>
      </c>
      <c r="J670" s="8">
        <v>0</v>
      </c>
      <c r="K670" s="8" t="s">
        <v>418</v>
      </c>
      <c r="L670" s="8" t="s">
        <v>5</v>
      </c>
      <c r="M670" s="8">
        <v>2026</v>
      </c>
      <c r="N670" s="8">
        <v>5</v>
      </c>
    </row>
    <row r="671" spans="2:14" x14ac:dyDescent="0.25">
      <c r="B671" s="8">
        <v>663</v>
      </c>
      <c r="C671" s="8" t="s">
        <v>122</v>
      </c>
      <c r="D671" s="10">
        <v>46147</v>
      </c>
      <c r="E671" s="8" t="s">
        <v>477</v>
      </c>
      <c r="F671" s="8" t="s">
        <v>10</v>
      </c>
      <c r="G671" s="8">
        <v>1352</v>
      </c>
      <c r="H671" s="8">
        <v>0</v>
      </c>
      <c r="I671" s="8">
        <v>-1352</v>
      </c>
      <c r="J671" s="8">
        <v>0</v>
      </c>
      <c r="K671" s="8" t="s">
        <v>9</v>
      </c>
      <c r="L671" s="8" t="s">
        <v>5</v>
      </c>
      <c r="M671" s="8">
        <v>2026</v>
      </c>
      <c r="N671" s="8">
        <v>5</v>
      </c>
    </row>
    <row r="672" spans="2:14" x14ac:dyDescent="0.25">
      <c r="B672" s="8">
        <v>664</v>
      </c>
      <c r="C672" s="8" t="s">
        <v>123</v>
      </c>
      <c r="D672" s="10">
        <v>46147</v>
      </c>
      <c r="E672" s="8" t="s">
        <v>141</v>
      </c>
      <c r="F672" s="8" t="s">
        <v>21</v>
      </c>
      <c r="G672" s="8">
        <v>1561</v>
      </c>
      <c r="H672" s="8">
        <v>0</v>
      </c>
      <c r="I672" s="8">
        <v>-1561</v>
      </c>
      <c r="J672" s="8">
        <v>0</v>
      </c>
      <c r="K672" s="8" t="s">
        <v>22</v>
      </c>
      <c r="L672" s="8" t="s">
        <v>5</v>
      </c>
      <c r="M672" s="8">
        <v>2026</v>
      </c>
      <c r="N672" s="8">
        <v>5</v>
      </c>
    </row>
    <row r="673" spans="2:14" x14ac:dyDescent="0.25">
      <c r="B673" s="8">
        <v>665</v>
      </c>
      <c r="C673" s="8" t="s">
        <v>123</v>
      </c>
      <c r="D673" s="10">
        <v>46147</v>
      </c>
      <c r="E673" s="8" t="s">
        <v>286</v>
      </c>
      <c r="F673" s="8" t="s">
        <v>218</v>
      </c>
      <c r="G673" s="8">
        <v>970</v>
      </c>
      <c r="H673" s="8">
        <v>0</v>
      </c>
      <c r="I673" s="8">
        <v>-970</v>
      </c>
      <c r="J673" s="8">
        <v>0</v>
      </c>
      <c r="K673" s="8" t="s">
        <v>19</v>
      </c>
      <c r="L673" s="8" t="s">
        <v>5</v>
      </c>
      <c r="M673" s="8">
        <v>2026</v>
      </c>
      <c r="N673" s="8">
        <v>5</v>
      </c>
    </row>
    <row r="674" spans="2:14" x14ac:dyDescent="0.25">
      <c r="B674" s="8">
        <v>666</v>
      </c>
      <c r="C674" s="8" t="s">
        <v>122</v>
      </c>
      <c r="D674" s="10">
        <v>46148</v>
      </c>
      <c r="E674" s="8" t="s">
        <v>381</v>
      </c>
      <c r="F674" s="8" t="s">
        <v>21</v>
      </c>
      <c r="G674" s="8">
        <v>68</v>
      </c>
      <c r="H674" s="8">
        <v>0</v>
      </c>
      <c r="I674" s="8">
        <v>-68</v>
      </c>
      <c r="J674" s="8">
        <v>0</v>
      </c>
      <c r="K674" s="8" t="s">
        <v>22</v>
      </c>
      <c r="L674" s="8" t="s">
        <v>5</v>
      </c>
      <c r="M674" s="8">
        <v>2026</v>
      </c>
      <c r="N674" s="8">
        <v>5</v>
      </c>
    </row>
    <row r="675" spans="2:14" x14ac:dyDescent="0.25">
      <c r="B675" s="8">
        <v>667</v>
      </c>
      <c r="C675" s="8" t="s">
        <v>122</v>
      </c>
      <c r="D675" s="10">
        <v>46148</v>
      </c>
      <c r="E675" s="8" t="s">
        <v>479</v>
      </c>
      <c r="F675" s="8" t="s">
        <v>408</v>
      </c>
      <c r="G675" s="8">
        <v>19213</v>
      </c>
      <c r="H675" s="8">
        <v>0</v>
      </c>
      <c r="I675" s="8">
        <v>-19213</v>
      </c>
      <c r="J675" s="8">
        <v>0</v>
      </c>
      <c r="K675" s="8" t="s">
        <v>418</v>
      </c>
      <c r="L675" s="8" t="s">
        <v>5</v>
      </c>
      <c r="M675" s="8">
        <v>2026</v>
      </c>
      <c r="N675" s="8">
        <v>5</v>
      </c>
    </row>
    <row r="676" spans="2:14" x14ac:dyDescent="0.25">
      <c r="B676" s="8">
        <v>668</v>
      </c>
      <c r="C676" s="8" t="s">
        <v>122</v>
      </c>
      <c r="D676" s="10">
        <v>46148</v>
      </c>
      <c r="E676" s="8" t="s">
        <v>179</v>
      </c>
      <c r="F676" s="8" t="s">
        <v>408</v>
      </c>
      <c r="G676" s="8">
        <v>4800</v>
      </c>
      <c r="H676" s="8">
        <v>0</v>
      </c>
      <c r="I676" s="8">
        <v>-4800</v>
      </c>
      <c r="J676" s="8">
        <v>0</v>
      </c>
      <c r="K676" s="8" t="s">
        <v>418</v>
      </c>
      <c r="L676" s="8" t="s">
        <v>5</v>
      </c>
      <c r="M676" s="8">
        <v>2026</v>
      </c>
      <c r="N676" s="8">
        <v>5</v>
      </c>
    </row>
    <row r="677" spans="2:14" x14ac:dyDescent="0.25">
      <c r="B677" s="8">
        <v>669</v>
      </c>
      <c r="C677" s="8" t="s">
        <v>122</v>
      </c>
      <c r="D677" s="10">
        <v>46148</v>
      </c>
      <c r="E677" s="8" t="s">
        <v>179</v>
      </c>
      <c r="F677" s="8" t="s">
        <v>83</v>
      </c>
      <c r="G677" s="8">
        <v>5000</v>
      </c>
      <c r="H677" s="8">
        <v>0</v>
      </c>
      <c r="I677" s="8">
        <v>-5000</v>
      </c>
      <c r="J677" s="8">
        <v>0</v>
      </c>
      <c r="K677" s="8" t="s">
        <v>38</v>
      </c>
      <c r="L677" s="8" t="s">
        <v>5</v>
      </c>
      <c r="M677" s="8">
        <v>2026</v>
      </c>
      <c r="N677" s="8">
        <v>5</v>
      </c>
    </row>
    <row r="678" spans="2:14" x14ac:dyDescent="0.25">
      <c r="B678" s="8">
        <v>670</v>
      </c>
      <c r="C678" s="8" t="s">
        <v>122</v>
      </c>
      <c r="D678" s="10">
        <v>46148</v>
      </c>
      <c r="E678" s="8" t="s">
        <v>319</v>
      </c>
      <c r="F678" s="8" t="s">
        <v>25</v>
      </c>
      <c r="G678" s="8">
        <v>80</v>
      </c>
      <c r="H678" s="8">
        <v>0</v>
      </c>
      <c r="I678" s="8">
        <v>-80</v>
      </c>
      <c r="J678" s="8">
        <v>0</v>
      </c>
      <c r="K678" s="8" t="s">
        <v>22</v>
      </c>
      <c r="L678" s="8" t="s">
        <v>5</v>
      </c>
      <c r="M678" s="8">
        <v>2026</v>
      </c>
      <c r="N678" s="8">
        <v>5</v>
      </c>
    </row>
    <row r="679" spans="2:14" x14ac:dyDescent="0.25">
      <c r="B679" s="8">
        <v>671</v>
      </c>
      <c r="C679" s="8" t="s">
        <v>122</v>
      </c>
      <c r="D679" s="10">
        <v>46148</v>
      </c>
      <c r="E679" s="8" t="s">
        <v>290</v>
      </c>
      <c r="F679" s="8" t="s">
        <v>25</v>
      </c>
      <c r="G679" s="8">
        <v>70</v>
      </c>
      <c r="H679" s="8">
        <v>0</v>
      </c>
      <c r="I679" s="8">
        <v>-70</v>
      </c>
      <c r="J679" s="8">
        <v>0</v>
      </c>
      <c r="K679" s="8" t="s">
        <v>22</v>
      </c>
      <c r="L679" s="8" t="s">
        <v>5</v>
      </c>
      <c r="M679" s="8">
        <v>2026</v>
      </c>
      <c r="N679" s="8">
        <v>5</v>
      </c>
    </row>
    <row r="680" spans="2:14" x14ac:dyDescent="0.25">
      <c r="B680" s="8">
        <v>672</v>
      </c>
      <c r="C680" s="8" t="s">
        <v>123</v>
      </c>
      <c r="D680" s="10">
        <v>46148</v>
      </c>
      <c r="E680" s="8" t="s">
        <v>95</v>
      </c>
      <c r="F680" s="8" t="s">
        <v>21</v>
      </c>
      <c r="G680" s="8">
        <v>1057</v>
      </c>
      <c r="H680" s="8">
        <v>0</v>
      </c>
      <c r="I680" s="8">
        <v>-1057</v>
      </c>
      <c r="J680" s="8">
        <v>0</v>
      </c>
      <c r="K680" s="8" t="s">
        <v>22</v>
      </c>
      <c r="L680" s="8" t="s">
        <v>5</v>
      </c>
      <c r="M680" s="8">
        <v>2026</v>
      </c>
      <c r="N680" s="8">
        <v>5</v>
      </c>
    </row>
    <row r="681" spans="2:14" x14ac:dyDescent="0.25">
      <c r="B681" s="8">
        <v>673</v>
      </c>
      <c r="C681" s="8" t="s">
        <v>122</v>
      </c>
      <c r="D681" s="10">
        <v>46149</v>
      </c>
      <c r="E681" s="8" t="s">
        <v>178</v>
      </c>
      <c r="F681" s="8" t="s">
        <v>84</v>
      </c>
      <c r="G681" s="8">
        <v>4621</v>
      </c>
      <c r="H681" s="8">
        <v>0</v>
      </c>
      <c r="I681" s="8">
        <v>-4621</v>
      </c>
      <c r="J681" s="8">
        <v>0</v>
      </c>
      <c r="K681" s="8" t="s">
        <v>38</v>
      </c>
      <c r="L681" s="8" t="s">
        <v>5</v>
      </c>
      <c r="M681" s="8">
        <v>2026</v>
      </c>
      <c r="N681" s="8">
        <v>5</v>
      </c>
    </row>
    <row r="682" spans="2:14" x14ac:dyDescent="0.25">
      <c r="B682" s="8">
        <v>674</v>
      </c>
      <c r="C682" s="8" t="s">
        <v>122</v>
      </c>
      <c r="D682" s="10">
        <v>46149</v>
      </c>
      <c r="E682" s="8" t="s">
        <v>243</v>
      </c>
      <c r="F682" s="8" t="s">
        <v>21</v>
      </c>
      <c r="G682" s="8">
        <v>27</v>
      </c>
      <c r="H682" s="8">
        <v>0</v>
      </c>
      <c r="I682" s="8">
        <v>-27</v>
      </c>
      <c r="J682" s="8">
        <v>0</v>
      </c>
      <c r="K682" s="8" t="s">
        <v>22</v>
      </c>
      <c r="L682" s="8" t="s">
        <v>5</v>
      </c>
      <c r="M682" s="8">
        <v>2026</v>
      </c>
      <c r="N682" s="8">
        <v>5</v>
      </c>
    </row>
    <row r="683" spans="2:14" x14ac:dyDescent="0.25">
      <c r="B683" s="8">
        <v>675</v>
      </c>
      <c r="C683" s="8" t="s">
        <v>122</v>
      </c>
      <c r="D683" s="10">
        <v>46149</v>
      </c>
      <c r="E683" s="8" t="s">
        <v>381</v>
      </c>
      <c r="F683" s="8" t="s">
        <v>21</v>
      </c>
      <c r="G683" s="8">
        <v>67</v>
      </c>
      <c r="H683" s="8">
        <v>0</v>
      </c>
      <c r="I683" s="8">
        <v>-67</v>
      </c>
      <c r="J683" s="8">
        <v>0</v>
      </c>
      <c r="K683" s="8" t="s">
        <v>22</v>
      </c>
      <c r="L683" s="8" t="s">
        <v>5</v>
      </c>
      <c r="M683" s="8">
        <v>2026</v>
      </c>
      <c r="N683" s="8">
        <v>5</v>
      </c>
    </row>
    <row r="684" spans="2:14" x14ac:dyDescent="0.25">
      <c r="B684" s="8">
        <v>676</v>
      </c>
      <c r="C684" s="8" t="s">
        <v>122</v>
      </c>
      <c r="D684" s="10">
        <v>46151</v>
      </c>
      <c r="E684" s="8" t="s">
        <v>480</v>
      </c>
      <c r="F684" s="8" t="s">
        <v>11</v>
      </c>
      <c r="G684" s="8">
        <v>410</v>
      </c>
      <c r="H684" s="8">
        <v>0</v>
      </c>
      <c r="I684" s="8">
        <v>-410</v>
      </c>
      <c r="J684" s="8">
        <v>0</v>
      </c>
      <c r="K684" s="8" t="s">
        <v>9</v>
      </c>
      <c r="L684" s="8" t="s">
        <v>5</v>
      </c>
      <c r="M684" s="8">
        <v>2026</v>
      </c>
      <c r="N684" s="8">
        <v>5</v>
      </c>
    </row>
    <row r="685" spans="2:14" x14ac:dyDescent="0.25">
      <c r="B685" s="8">
        <v>677</v>
      </c>
      <c r="C685" s="8" t="s">
        <v>122</v>
      </c>
      <c r="D685" s="10">
        <v>46151</v>
      </c>
      <c r="E685" s="8" t="s">
        <v>441</v>
      </c>
      <c r="F685" s="8" t="s">
        <v>25</v>
      </c>
      <c r="G685" s="8">
        <v>173</v>
      </c>
      <c r="H685" s="8">
        <v>0</v>
      </c>
      <c r="I685" s="8">
        <v>-173</v>
      </c>
      <c r="J685" s="8">
        <v>0</v>
      </c>
      <c r="K685" s="8" t="s">
        <v>22</v>
      </c>
      <c r="L685" s="8" t="s">
        <v>5</v>
      </c>
      <c r="M685" s="8">
        <v>2026</v>
      </c>
      <c r="N685" s="8">
        <v>5</v>
      </c>
    </row>
    <row r="686" spans="2:14" x14ac:dyDescent="0.25">
      <c r="B686" s="8">
        <v>678</v>
      </c>
      <c r="C686" s="8" t="s">
        <v>123</v>
      </c>
      <c r="D686" s="10">
        <v>46151</v>
      </c>
      <c r="E686" s="8" t="s">
        <v>508</v>
      </c>
      <c r="F686" s="8" t="s">
        <v>29</v>
      </c>
      <c r="G686" s="8">
        <v>740</v>
      </c>
      <c r="H686" s="8">
        <v>0</v>
      </c>
      <c r="I686" s="8">
        <v>-740</v>
      </c>
      <c r="J686" s="8">
        <v>0</v>
      </c>
      <c r="K686" s="8" t="s">
        <v>28</v>
      </c>
      <c r="L686" s="8" t="s">
        <v>5</v>
      </c>
      <c r="M686" s="8">
        <v>2026</v>
      </c>
      <c r="N686" s="8">
        <v>5</v>
      </c>
    </row>
    <row r="687" spans="2:14" x14ac:dyDescent="0.25">
      <c r="B687" s="8">
        <v>679</v>
      </c>
      <c r="C687" s="8" t="s">
        <v>122</v>
      </c>
      <c r="D687" s="10">
        <v>46152</v>
      </c>
      <c r="E687" s="8" t="s">
        <v>259</v>
      </c>
      <c r="F687" s="8" t="s">
        <v>10</v>
      </c>
      <c r="G687" s="8">
        <v>110</v>
      </c>
      <c r="H687" s="8">
        <v>0</v>
      </c>
      <c r="I687" s="8">
        <v>-110</v>
      </c>
      <c r="J687" s="8">
        <v>0</v>
      </c>
      <c r="K687" s="8" t="s">
        <v>9</v>
      </c>
      <c r="L687" s="8" t="s">
        <v>5</v>
      </c>
      <c r="M687" s="8">
        <v>2026</v>
      </c>
      <c r="N687" s="8">
        <v>5</v>
      </c>
    </row>
    <row r="688" spans="2:14" x14ac:dyDescent="0.25">
      <c r="B688" s="8">
        <v>680</v>
      </c>
      <c r="C688" s="8" t="s">
        <v>122</v>
      </c>
      <c r="D688" s="10">
        <v>46152</v>
      </c>
      <c r="E688" s="8" t="s">
        <v>95</v>
      </c>
      <c r="F688" s="8" t="s">
        <v>21</v>
      </c>
      <c r="G688" s="8">
        <v>1183</v>
      </c>
      <c r="H688" s="8">
        <v>0</v>
      </c>
      <c r="I688" s="8">
        <v>-1183</v>
      </c>
      <c r="J688" s="8">
        <v>0</v>
      </c>
      <c r="K688" s="8" t="s">
        <v>22</v>
      </c>
      <c r="L688" s="8" t="s">
        <v>5</v>
      </c>
      <c r="M688" s="8">
        <v>2026</v>
      </c>
      <c r="N688" s="8">
        <v>5</v>
      </c>
    </row>
    <row r="689" spans="2:14" x14ac:dyDescent="0.25">
      <c r="B689" s="8">
        <v>681</v>
      </c>
      <c r="C689" s="8" t="s">
        <v>122</v>
      </c>
      <c r="D689" s="10">
        <v>46154</v>
      </c>
      <c r="E689" s="8" t="s">
        <v>481</v>
      </c>
      <c r="F689" s="8" t="s">
        <v>11</v>
      </c>
      <c r="G689" s="8">
        <v>30</v>
      </c>
      <c r="H689" s="8">
        <v>0</v>
      </c>
      <c r="I689" s="8">
        <v>-30</v>
      </c>
      <c r="J689" s="8">
        <v>0</v>
      </c>
      <c r="K689" s="8" t="s">
        <v>9</v>
      </c>
      <c r="L689" s="8" t="s">
        <v>5</v>
      </c>
      <c r="M689" s="8">
        <v>2026</v>
      </c>
      <c r="N689" s="8">
        <v>5</v>
      </c>
    </row>
    <row r="690" spans="2:14" x14ac:dyDescent="0.25">
      <c r="B690" s="8">
        <v>682</v>
      </c>
      <c r="C690" s="8" t="s">
        <v>122</v>
      </c>
      <c r="D690" s="10">
        <v>46154</v>
      </c>
      <c r="E690" s="8" t="s">
        <v>158</v>
      </c>
      <c r="F690" s="8" t="s">
        <v>8</v>
      </c>
      <c r="G690" s="8">
        <v>200</v>
      </c>
      <c r="H690" s="8">
        <v>0</v>
      </c>
      <c r="I690" s="8">
        <v>-200</v>
      </c>
      <c r="J690" s="8">
        <v>0</v>
      </c>
      <c r="K690" s="8" t="s">
        <v>9</v>
      </c>
      <c r="L690" s="8" t="s">
        <v>5</v>
      </c>
      <c r="M690" s="8">
        <v>2026</v>
      </c>
      <c r="N690" s="8">
        <v>5</v>
      </c>
    </row>
    <row r="691" spans="2:14" x14ac:dyDescent="0.25">
      <c r="B691" s="8">
        <v>683</v>
      </c>
      <c r="C691" s="8" t="s">
        <v>122</v>
      </c>
      <c r="D691" s="10">
        <v>46154</v>
      </c>
      <c r="E691" s="8" t="s">
        <v>482</v>
      </c>
      <c r="F691" s="8" t="s">
        <v>11</v>
      </c>
      <c r="G691" s="8">
        <v>90</v>
      </c>
      <c r="H691" s="8">
        <v>0</v>
      </c>
      <c r="I691" s="8">
        <v>-90</v>
      </c>
      <c r="J691" s="8">
        <v>0</v>
      </c>
      <c r="K691" s="8" t="s">
        <v>9</v>
      </c>
      <c r="L691" s="8" t="s">
        <v>5</v>
      </c>
      <c r="M691" s="8">
        <v>2026</v>
      </c>
      <c r="N691" s="8">
        <v>5</v>
      </c>
    </row>
    <row r="692" spans="2:14" x14ac:dyDescent="0.25">
      <c r="B692" s="8">
        <v>684</v>
      </c>
      <c r="C692" s="8" t="s">
        <v>122</v>
      </c>
      <c r="D692" s="10">
        <v>46154</v>
      </c>
      <c r="E692" s="8" t="s">
        <v>128</v>
      </c>
      <c r="F692" s="8" t="s">
        <v>25</v>
      </c>
      <c r="G692" s="8">
        <v>40</v>
      </c>
      <c r="H692" s="8">
        <v>0</v>
      </c>
      <c r="I692" s="8">
        <v>-40</v>
      </c>
      <c r="J692" s="8">
        <v>0</v>
      </c>
      <c r="K692" s="8" t="s">
        <v>22</v>
      </c>
      <c r="L692" s="8" t="s">
        <v>5</v>
      </c>
      <c r="M692" s="8">
        <v>2026</v>
      </c>
      <c r="N692" s="8">
        <v>5</v>
      </c>
    </row>
    <row r="693" spans="2:14" x14ac:dyDescent="0.25">
      <c r="B693" s="8">
        <v>685</v>
      </c>
      <c r="C693" s="8" t="s">
        <v>122</v>
      </c>
      <c r="D693" s="10">
        <v>46154</v>
      </c>
      <c r="E693" s="8" t="s">
        <v>381</v>
      </c>
      <c r="F693" s="8" t="s">
        <v>25</v>
      </c>
      <c r="G693" s="8">
        <v>85</v>
      </c>
      <c r="H693" s="8">
        <v>0</v>
      </c>
      <c r="I693" s="8">
        <v>-85</v>
      </c>
      <c r="J693" s="8">
        <v>0</v>
      </c>
      <c r="K693" s="8" t="s">
        <v>22</v>
      </c>
      <c r="L693" s="8" t="s">
        <v>5</v>
      </c>
      <c r="M693" s="8">
        <v>2026</v>
      </c>
      <c r="N693" s="8">
        <v>5</v>
      </c>
    </row>
    <row r="694" spans="2:14" x14ac:dyDescent="0.25">
      <c r="B694" s="8">
        <v>686</v>
      </c>
      <c r="C694" s="8" t="s">
        <v>122</v>
      </c>
      <c r="D694" s="10">
        <v>46154</v>
      </c>
      <c r="E694" s="8" t="s">
        <v>319</v>
      </c>
      <c r="F694" s="8" t="s">
        <v>25</v>
      </c>
      <c r="G694" s="8">
        <v>160</v>
      </c>
      <c r="H694" s="8">
        <v>0</v>
      </c>
      <c r="I694" s="8">
        <v>-160</v>
      </c>
      <c r="J694" s="8">
        <v>0</v>
      </c>
      <c r="K694" s="8" t="s">
        <v>22</v>
      </c>
      <c r="L694" s="8" t="s">
        <v>5</v>
      </c>
      <c r="M694" s="8">
        <v>2026</v>
      </c>
      <c r="N694" s="8">
        <v>5</v>
      </c>
    </row>
    <row r="695" spans="2:14" x14ac:dyDescent="0.25">
      <c r="B695" s="8">
        <v>687</v>
      </c>
      <c r="C695" s="8" t="s">
        <v>122</v>
      </c>
      <c r="D695" s="10">
        <v>46154</v>
      </c>
      <c r="E695" s="8" t="s">
        <v>483</v>
      </c>
      <c r="F695" s="8" t="s">
        <v>25</v>
      </c>
      <c r="G695" s="8">
        <v>200</v>
      </c>
      <c r="H695" s="8">
        <v>0</v>
      </c>
      <c r="I695" s="8">
        <v>-200</v>
      </c>
      <c r="J695" s="8">
        <v>0</v>
      </c>
      <c r="K695" s="8" t="s">
        <v>22</v>
      </c>
      <c r="L695" s="8" t="s">
        <v>5</v>
      </c>
      <c r="M695" s="8">
        <v>2026</v>
      </c>
      <c r="N695" s="8">
        <v>5</v>
      </c>
    </row>
    <row r="696" spans="2:14" x14ac:dyDescent="0.25">
      <c r="B696" s="8">
        <v>688</v>
      </c>
      <c r="C696" s="8" t="s">
        <v>122</v>
      </c>
      <c r="D696" s="10">
        <v>46154</v>
      </c>
      <c r="E696" s="8" t="s">
        <v>493</v>
      </c>
      <c r="F696" s="8" t="s">
        <v>11</v>
      </c>
      <c r="G696" s="8">
        <v>300</v>
      </c>
      <c r="H696" s="8">
        <v>0</v>
      </c>
      <c r="I696" s="8">
        <v>-300</v>
      </c>
      <c r="J696" s="8">
        <v>0</v>
      </c>
      <c r="K696" s="8" t="s">
        <v>9</v>
      </c>
      <c r="L696" s="8" t="s">
        <v>5</v>
      </c>
      <c r="M696" s="8">
        <v>2026</v>
      </c>
      <c r="N696" s="8">
        <v>5</v>
      </c>
    </row>
    <row r="697" spans="2:14" x14ac:dyDescent="0.25">
      <c r="B697" s="8">
        <v>689</v>
      </c>
      <c r="C697" s="8" t="s">
        <v>122</v>
      </c>
      <c r="D697" s="10">
        <v>46155</v>
      </c>
      <c r="E697" s="8" t="s">
        <v>243</v>
      </c>
      <c r="F697" s="8" t="s">
        <v>21</v>
      </c>
      <c r="G697" s="8">
        <v>27</v>
      </c>
      <c r="H697" s="8">
        <v>0</v>
      </c>
      <c r="I697" s="8">
        <v>-27</v>
      </c>
      <c r="J697" s="8">
        <v>0</v>
      </c>
      <c r="K697" s="8" t="s">
        <v>22</v>
      </c>
      <c r="L697" s="8" t="s">
        <v>5</v>
      </c>
      <c r="M697" s="8">
        <v>2026</v>
      </c>
      <c r="N697" s="8">
        <v>5</v>
      </c>
    </row>
    <row r="698" spans="2:14" x14ac:dyDescent="0.25">
      <c r="B698" s="8">
        <v>690</v>
      </c>
      <c r="C698" s="8" t="s">
        <v>122</v>
      </c>
      <c r="D698" s="10">
        <v>46155</v>
      </c>
      <c r="E698" s="8" t="s">
        <v>25</v>
      </c>
      <c r="F698" s="8" t="s">
        <v>25</v>
      </c>
      <c r="G698" s="8">
        <v>125</v>
      </c>
      <c r="H698" s="8">
        <v>0</v>
      </c>
      <c r="I698" s="8">
        <v>-125</v>
      </c>
      <c r="J698" s="8">
        <v>0</v>
      </c>
      <c r="K698" s="8" t="s">
        <v>22</v>
      </c>
      <c r="L698" s="8" t="s">
        <v>5</v>
      </c>
      <c r="M698" s="8">
        <v>2026</v>
      </c>
      <c r="N698" s="8">
        <v>5</v>
      </c>
    </row>
    <row r="699" spans="2:14" x14ac:dyDescent="0.25">
      <c r="B699" s="8">
        <v>691</v>
      </c>
      <c r="C699" s="8" t="s">
        <v>122</v>
      </c>
      <c r="D699" s="10">
        <v>46156</v>
      </c>
      <c r="E699" s="8" t="s">
        <v>144</v>
      </c>
      <c r="F699" s="8" t="s">
        <v>21</v>
      </c>
      <c r="G699" s="8">
        <v>589</v>
      </c>
      <c r="H699" s="8">
        <v>0</v>
      </c>
      <c r="I699" s="8">
        <v>-589</v>
      </c>
      <c r="J699" s="8">
        <v>0</v>
      </c>
      <c r="K699" s="8" t="s">
        <v>22</v>
      </c>
      <c r="L699" s="8" t="s">
        <v>5</v>
      </c>
      <c r="M699" s="8">
        <v>2026</v>
      </c>
      <c r="N699" s="8">
        <v>5</v>
      </c>
    </row>
    <row r="700" spans="2:14" x14ac:dyDescent="0.25">
      <c r="B700" s="8">
        <v>692</v>
      </c>
      <c r="C700" s="8" t="s">
        <v>122</v>
      </c>
      <c r="D700" s="10">
        <v>46156</v>
      </c>
      <c r="E700" s="8" t="s">
        <v>147</v>
      </c>
      <c r="F700" s="8" t="s">
        <v>25</v>
      </c>
      <c r="G700" s="8">
        <v>40</v>
      </c>
      <c r="H700" s="8">
        <v>0</v>
      </c>
      <c r="I700" s="8">
        <v>-40</v>
      </c>
      <c r="J700" s="8">
        <v>0</v>
      </c>
      <c r="K700" s="8" t="s">
        <v>22</v>
      </c>
      <c r="L700" s="8" t="s">
        <v>5</v>
      </c>
      <c r="M700" s="8">
        <v>2026</v>
      </c>
      <c r="N700" s="8">
        <v>5</v>
      </c>
    </row>
    <row r="701" spans="2:14" x14ac:dyDescent="0.25">
      <c r="B701" s="8">
        <v>693</v>
      </c>
      <c r="C701" s="8" t="s">
        <v>122</v>
      </c>
      <c r="D701" s="10">
        <v>46156</v>
      </c>
      <c r="E701" s="8" t="s">
        <v>203</v>
      </c>
      <c r="F701" s="8" t="s">
        <v>25</v>
      </c>
      <c r="G701" s="8">
        <v>150</v>
      </c>
      <c r="H701" s="8">
        <v>0</v>
      </c>
      <c r="I701" s="8">
        <v>-150</v>
      </c>
      <c r="J701" s="8">
        <v>0</v>
      </c>
      <c r="K701" s="8" t="s">
        <v>22</v>
      </c>
      <c r="L701" s="8" t="s">
        <v>5</v>
      </c>
      <c r="M701" s="8">
        <v>2026</v>
      </c>
      <c r="N701" s="8">
        <v>5</v>
      </c>
    </row>
    <row r="702" spans="2:14" x14ac:dyDescent="0.25">
      <c r="B702" s="8">
        <v>694</v>
      </c>
      <c r="C702" s="8" t="s">
        <v>122</v>
      </c>
      <c r="D702" s="10">
        <v>46156</v>
      </c>
      <c r="E702" s="8" t="s">
        <v>243</v>
      </c>
      <c r="F702" s="8" t="s">
        <v>21</v>
      </c>
      <c r="G702" s="8">
        <v>27</v>
      </c>
      <c r="H702" s="8">
        <v>0</v>
      </c>
      <c r="I702" s="8">
        <v>-27</v>
      </c>
      <c r="J702" s="8">
        <v>0</v>
      </c>
      <c r="K702" s="8" t="s">
        <v>22</v>
      </c>
      <c r="L702" s="8" t="s">
        <v>5</v>
      </c>
      <c r="M702" s="8">
        <v>2026</v>
      </c>
      <c r="N702" s="8">
        <v>5</v>
      </c>
    </row>
    <row r="703" spans="2:14" x14ac:dyDescent="0.25">
      <c r="B703" s="8">
        <v>695</v>
      </c>
      <c r="C703" s="8" t="s">
        <v>122</v>
      </c>
      <c r="D703" s="10">
        <v>46157</v>
      </c>
      <c r="E703" s="8" t="s">
        <v>494</v>
      </c>
      <c r="F703" s="8" t="s">
        <v>11</v>
      </c>
      <c r="G703" s="8">
        <v>1100</v>
      </c>
      <c r="H703" s="8">
        <v>0</v>
      </c>
      <c r="I703" s="8">
        <v>-1100</v>
      </c>
      <c r="J703" s="8">
        <v>0</v>
      </c>
      <c r="K703" s="8" t="s">
        <v>9</v>
      </c>
      <c r="L703" s="8" t="s">
        <v>5</v>
      </c>
      <c r="M703" s="8">
        <v>2026</v>
      </c>
      <c r="N703" s="8">
        <v>5</v>
      </c>
    </row>
    <row r="704" spans="2:14" x14ac:dyDescent="0.25">
      <c r="B704" s="8">
        <v>696</v>
      </c>
      <c r="C704" s="8" t="s">
        <v>122</v>
      </c>
      <c r="D704" s="10">
        <v>46158</v>
      </c>
      <c r="E704" s="8" t="s">
        <v>243</v>
      </c>
      <c r="F704" s="8" t="s">
        <v>21</v>
      </c>
      <c r="G704" s="8">
        <v>75</v>
      </c>
      <c r="H704" s="8">
        <v>0</v>
      </c>
      <c r="I704" s="8">
        <v>-75</v>
      </c>
      <c r="J704" s="8">
        <v>0</v>
      </c>
      <c r="K704" s="8" t="s">
        <v>22</v>
      </c>
      <c r="L704" s="8" t="s">
        <v>5</v>
      </c>
      <c r="M704" s="8">
        <v>2026</v>
      </c>
      <c r="N704" s="8">
        <v>5</v>
      </c>
    </row>
    <row r="705" spans="2:14" x14ac:dyDescent="0.25">
      <c r="B705" s="8">
        <v>697</v>
      </c>
      <c r="C705" s="8" t="s">
        <v>122</v>
      </c>
      <c r="D705" s="10">
        <v>46158</v>
      </c>
      <c r="E705" s="8" t="s">
        <v>340</v>
      </c>
      <c r="F705" s="8" t="s">
        <v>7</v>
      </c>
      <c r="G705" s="8">
        <v>1500</v>
      </c>
      <c r="H705" s="8">
        <v>0</v>
      </c>
      <c r="I705" s="8">
        <v>-1500</v>
      </c>
      <c r="J705" s="8">
        <v>0</v>
      </c>
      <c r="K705" s="8" t="s">
        <v>4</v>
      </c>
      <c r="L705" s="8" t="s">
        <v>5</v>
      </c>
      <c r="M705" s="8">
        <v>2026</v>
      </c>
      <c r="N705" s="8">
        <v>5</v>
      </c>
    </row>
    <row r="706" spans="2:14" x14ac:dyDescent="0.25">
      <c r="B706" s="8">
        <v>698</v>
      </c>
      <c r="C706" s="8" t="s">
        <v>122</v>
      </c>
      <c r="D706" s="10">
        <v>46158</v>
      </c>
      <c r="E706" s="8" t="s">
        <v>340</v>
      </c>
      <c r="F706" s="8" t="s">
        <v>21</v>
      </c>
      <c r="G706" s="8">
        <v>2225.66</v>
      </c>
      <c r="H706" s="8">
        <v>0</v>
      </c>
      <c r="I706" s="8">
        <v>-2225.66</v>
      </c>
      <c r="J706" s="8">
        <v>0</v>
      </c>
      <c r="K706" s="8" t="s">
        <v>22</v>
      </c>
      <c r="L706" s="8" t="s">
        <v>5</v>
      </c>
      <c r="M706" s="8">
        <v>2026</v>
      </c>
      <c r="N706" s="8">
        <v>5</v>
      </c>
    </row>
    <row r="707" spans="2:14" x14ac:dyDescent="0.25">
      <c r="B707" s="8">
        <v>699</v>
      </c>
      <c r="C707" s="8" t="s">
        <v>122</v>
      </c>
      <c r="D707" s="10">
        <v>46158</v>
      </c>
      <c r="E707" s="8" t="s">
        <v>209</v>
      </c>
      <c r="F707" s="8" t="s">
        <v>25</v>
      </c>
      <c r="G707" s="8">
        <v>360</v>
      </c>
      <c r="H707" s="8">
        <v>0</v>
      </c>
      <c r="I707" s="8">
        <v>-360</v>
      </c>
      <c r="J707" s="8">
        <v>0</v>
      </c>
      <c r="K707" s="8" t="s">
        <v>22</v>
      </c>
      <c r="L707" s="8" t="s">
        <v>5</v>
      </c>
      <c r="M707" s="8">
        <v>2026</v>
      </c>
      <c r="N707" s="8">
        <v>5</v>
      </c>
    </row>
    <row r="708" spans="2:14" x14ac:dyDescent="0.25">
      <c r="B708" s="8">
        <v>700</v>
      </c>
      <c r="C708" s="8" t="s">
        <v>122</v>
      </c>
      <c r="D708" s="10">
        <v>46158</v>
      </c>
      <c r="E708" s="8" t="s">
        <v>203</v>
      </c>
      <c r="F708" s="8" t="s">
        <v>25</v>
      </c>
      <c r="G708" s="8">
        <v>140</v>
      </c>
      <c r="H708" s="8">
        <v>0</v>
      </c>
      <c r="I708" s="8">
        <v>-140</v>
      </c>
      <c r="J708" s="8">
        <v>0</v>
      </c>
      <c r="K708" s="8" t="s">
        <v>22</v>
      </c>
      <c r="L708" s="8" t="s">
        <v>5</v>
      </c>
      <c r="M708" s="8">
        <v>2026</v>
      </c>
      <c r="N708" s="8">
        <v>5</v>
      </c>
    </row>
    <row r="709" spans="2:14" x14ac:dyDescent="0.25">
      <c r="B709" s="8">
        <v>701</v>
      </c>
      <c r="C709" s="8" t="s">
        <v>122</v>
      </c>
      <c r="D709" s="10">
        <v>46158</v>
      </c>
      <c r="E709" s="8" t="s">
        <v>377</v>
      </c>
      <c r="F709" s="8" t="s">
        <v>29</v>
      </c>
      <c r="G709" s="8">
        <v>500</v>
      </c>
      <c r="H709" s="8">
        <v>0</v>
      </c>
      <c r="I709" s="8">
        <v>-500</v>
      </c>
      <c r="J709" s="8">
        <v>0</v>
      </c>
      <c r="K709" s="8" t="s">
        <v>28</v>
      </c>
      <c r="L709" s="8" t="s">
        <v>5</v>
      </c>
      <c r="M709" s="8">
        <v>2026</v>
      </c>
      <c r="N709" s="8">
        <v>5</v>
      </c>
    </row>
    <row r="710" spans="2:14" x14ac:dyDescent="0.25">
      <c r="B710" s="8">
        <v>702</v>
      </c>
      <c r="C710" s="8" t="s">
        <v>123</v>
      </c>
      <c r="D710" s="10">
        <v>46158</v>
      </c>
      <c r="E710" s="8" t="s">
        <v>340</v>
      </c>
      <c r="F710" s="8" t="s">
        <v>25</v>
      </c>
      <c r="G710" s="8">
        <v>20</v>
      </c>
      <c r="H710" s="8">
        <v>0</v>
      </c>
      <c r="I710" s="8">
        <v>-20</v>
      </c>
      <c r="J710" s="8">
        <v>0</v>
      </c>
      <c r="K710" s="8" t="s">
        <v>22</v>
      </c>
      <c r="L710" s="8" t="s">
        <v>5</v>
      </c>
      <c r="M710" s="8">
        <v>2026</v>
      </c>
      <c r="N710" s="8">
        <v>5</v>
      </c>
    </row>
    <row r="711" spans="2:14" x14ac:dyDescent="0.25">
      <c r="B711" s="8">
        <v>703</v>
      </c>
      <c r="C711" s="8" t="s">
        <v>123</v>
      </c>
      <c r="D711" s="10">
        <v>46158</v>
      </c>
      <c r="E711" s="8" t="s">
        <v>141</v>
      </c>
      <c r="F711" s="8" t="s">
        <v>21</v>
      </c>
      <c r="G711" s="8">
        <v>615</v>
      </c>
      <c r="H711" s="8">
        <v>0</v>
      </c>
      <c r="I711" s="8">
        <v>-615</v>
      </c>
      <c r="J711" s="8">
        <v>0</v>
      </c>
      <c r="K711" s="8" t="s">
        <v>22</v>
      </c>
      <c r="L711" s="8" t="s">
        <v>5</v>
      </c>
      <c r="M711" s="8">
        <v>2026</v>
      </c>
      <c r="N711" s="8">
        <v>5</v>
      </c>
    </row>
    <row r="712" spans="2:14" x14ac:dyDescent="0.25">
      <c r="B712" s="8">
        <v>704</v>
      </c>
      <c r="C712" s="8" t="s">
        <v>123</v>
      </c>
      <c r="D712" s="10">
        <v>46158</v>
      </c>
      <c r="E712" s="8" t="s">
        <v>509</v>
      </c>
      <c r="F712" s="8" t="s">
        <v>21</v>
      </c>
      <c r="G712" s="8">
        <v>364</v>
      </c>
      <c r="H712" s="8">
        <v>0</v>
      </c>
      <c r="I712" s="8">
        <v>-364</v>
      </c>
      <c r="J712" s="8">
        <v>0</v>
      </c>
      <c r="K712" s="8" t="s">
        <v>22</v>
      </c>
      <c r="L712" s="8" t="s">
        <v>5</v>
      </c>
      <c r="M712" s="8">
        <v>2026</v>
      </c>
      <c r="N712" s="8">
        <v>5</v>
      </c>
    </row>
    <row r="713" spans="2:14" x14ac:dyDescent="0.25">
      <c r="B713" s="8">
        <v>705</v>
      </c>
      <c r="C713" s="8" t="s">
        <v>123</v>
      </c>
      <c r="D713" s="10">
        <v>46158</v>
      </c>
      <c r="E713" s="8" t="s">
        <v>450</v>
      </c>
      <c r="F713" s="8" t="s">
        <v>21</v>
      </c>
      <c r="G713" s="8">
        <v>290</v>
      </c>
      <c r="H713" s="8">
        <v>0</v>
      </c>
      <c r="I713" s="8">
        <v>-290</v>
      </c>
      <c r="J713" s="8">
        <v>0</v>
      </c>
      <c r="K713" s="8" t="s">
        <v>22</v>
      </c>
      <c r="L713" s="8" t="s">
        <v>5</v>
      </c>
      <c r="M713" s="8">
        <v>2026</v>
      </c>
      <c r="N713" s="8">
        <v>5</v>
      </c>
    </row>
    <row r="714" spans="2:14" x14ac:dyDescent="0.25">
      <c r="B714" s="8">
        <v>706</v>
      </c>
      <c r="C714" s="8" t="s">
        <v>122</v>
      </c>
      <c r="D714" s="10">
        <v>46159</v>
      </c>
      <c r="E714" s="8" t="s">
        <v>312</v>
      </c>
      <c r="F714" s="8" t="s">
        <v>25</v>
      </c>
      <c r="G714" s="8">
        <v>906</v>
      </c>
      <c r="H714" s="8">
        <v>0</v>
      </c>
      <c r="I714" s="8">
        <v>-906</v>
      </c>
      <c r="J714" s="8">
        <v>0</v>
      </c>
      <c r="K714" s="8" t="s">
        <v>22</v>
      </c>
      <c r="L714" s="8" t="s">
        <v>5</v>
      </c>
      <c r="M714" s="8">
        <v>2026</v>
      </c>
      <c r="N714" s="8">
        <v>5</v>
      </c>
    </row>
    <row r="715" spans="2:14" x14ac:dyDescent="0.25">
      <c r="B715" s="8">
        <v>707</v>
      </c>
      <c r="C715" s="8" t="s">
        <v>122</v>
      </c>
      <c r="D715" s="10">
        <v>46159</v>
      </c>
      <c r="E715" s="8" t="s">
        <v>484</v>
      </c>
      <c r="F715" s="8" t="s">
        <v>25</v>
      </c>
      <c r="G715" s="8">
        <v>410</v>
      </c>
      <c r="H715" s="8">
        <v>0</v>
      </c>
      <c r="I715" s="8">
        <v>-410</v>
      </c>
      <c r="J715" s="8">
        <v>0</v>
      </c>
      <c r="K715" s="8" t="s">
        <v>22</v>
      </c>
      <c r="L715" s="8" t="s">
        <v>5</v>
      </c>
      <c r="M715" s="8">
        <v>2026</v>
      </c>
      <c r="N715" s="8">
        <v>5</v>
      </c>
    </row>
    <row r="716" spans="2:14" x14ac:dyDescent="0.25">
      <c r="B716" s="8">
        <v>708</v>
      </c>
      <c r="C716" s="8" t="s">
        <v>122</v>
      </c>
      <c r="D716" s="10">
        <v>46159</v>
      </c>
      <c r="E716" s="8" t="s">
        <v>485</v>
      </c>
      <c r="F716" s="8" t="s">
        <v>25</v>
      </c>
      <c r="G716" s="8">
        <v>65</v>
      </c>
      <c r="H716" s="8">
        <v>0</v>
      </c>
      <c r="I716" s="8">
        <v>-65</v>
      </c>
      <c r="J716" s="8">
        <v>0</v>
      </c>
      <c r="K716" s="8" t="s">
        <v>22</v>
      </c>
      <c r="L716" s="8" t="s">
        <v>5</v>
      </c>
      <c r="M716" s="8">
        <v>2026</v>
      </c>
      <c r="N716" s="8">
        <v>5</v>
      </c>
    </row>
    <row r="717" spans="2:14" x14ac:dyDescent="0.25">
      <c r="B717" s="8">
        <v>709</v>
      </c>
      <c r="C717" s="8" t="s">
        <v>122</v>
      </c>
      <c r="D717" s="10">
        <v>46159</v>
      </c>
      <c r="E717" s="8" t="s">
        <v>259</v>
      </c>
      <c r="F717" s="8" t="s">
        <v>10</v>
      </c>
      <c r="G717" s="8">
        <v>30</v>
      </c>
      <c r="H717" s="8">
        <v>0</v>
      </c>
      <c r="I717" s="8">
        <v>-30</v>
      </c>
      <c r="J717" s="8">
        <v>0</v>
      </c>
      <c r="K717" s="8" t="s">
        <v>9</v>
      </c>
      <c r="L717" s="8" t="s">
        <v>5</v>
      </c>
      <c r="M717" s="8">
        <v>2026</v>
      </c>
      <c r="N717" s="8">
        <v>5</v>
      </c>
    </row>
    <row r="718" spans="2:14" x14ac:dyDescent="0.25">
      <c r="B718" s="8">
        <v>710</v>
      </c>
      <c r="C718" s="8" t="s">
        <v>123</v>
      </c>
      <c r="D718" s="10">
        <v>46159</v>
      </c>
      <c r="E718" s="8" t="s">
        <v>147</v>
      </c>
      <c r="F718" s="8" t="s">
        <v>25</v>
      </c>
      <c r="G718" s="8">
        <v>147</v>
      </c>
      <c r="H718" s="8">
        <v>0</v>
      </c>
      <c r="I718" s="8">
        <v>-147</v>
      </c>
      <c r="J718" s="8">
        <v>0</v>
      </c>
      <c r="K718" s="8" t="s">
        <v>22</v>
      </c>
      <c r="L718" s="8" t="s">
        <v>5</v>
      </c>
      <c r="M718" s="8">
        <v>2026</v>
      </c>
      <c r="N718" s="8">
        <v>5</v>
      </c>
    </row>
    <row r="719" spans="2:14" x14ac:dyDescent="0.25">
      <c r="B719" s="8">
        <v>711</v>
      </c>
      <c r="C719" s="8" t="s">
        <v>122</v>
      </c>
      <c r="D719" s="10">
        <v>46160</v>
      </c>
      <c r="E719" s="8" t="s">
        <v>486</v>
      </c>
      <c r="F719" s="8" t="s">
        <v>12</v>
      </c>
      <c r="G719" s="8">
        <v>185</v>
      </c>
      <c r="H719" s="8">
        <v>0</v>
      </c>
      <c r="I719" s="8">
        <v>-185</v>
      </c>
      <c r="J719" s="8">
        <v>0</v>
      </c>
      <c r="K719" s="8" t="s">
        <v>13</v>
      </c>
      <c r="L719" s="8" t="s">
        <v>5</v>
      </c>
      <c r="M719" s="8">
        <v>2026</v>
      </c>
      <c r="N719" s="8">
        <v>5</v>
      </c>
    </row>
    <row r="720" spans="2:14" x14ac:dyDescent="0.25">
      <c r="B720" s="8">
        <v>712</v>
      </c>
      <c r="C720" s="8" t="s">
        <v>122</v>
      </c>
      <c r="D720" s="10">
        <v>46160</v>
      </c>
      <c r="E720" s="8" t="s">
        <v>487</v>
      </c>
      <c r="F720" s="8" t="s">
        <v>25</v>
      </c>
      <c r="G720" s="8">
        <v>330</v>
      </c>
      <c r="H720" s="8">
        <v>0</v>
      </c>
      <c r="I720" s="8">
        <v>-330</v>
      </c>
      <c r="J720" s="8">
        <v>0</v>
      </c>
      <c r="K720" s="8" t="s">
        <v>22</v>
      </c>
      <c r="L720" s="8" t="s">
        <v>5</v>
      </c>
      <c r="M720" s="8">
        <v>2026</v>
      </c>
      <c r="N720" s="8">
        <v>5</v>
      </c>
    </row>
    <row r="721" spans="2:14" x14ac:dyDescent="0.25">
      <c r="B721" s="8">
        <v>713</v>
      </c>
      <c r="C721" s="8" t="s">
        <v>123</v>
      </c>
      <c r="D721" s="10">
        <v>46160</v>
      </c>
      <c r="E721" s="8" t="s">
        <v>486</v>
      </c>
      <c r="F721" s="8" t="s">
        <v>12</v>
      </c>
      <c r="G721" s="8">
        <v>1142</v>
      </c>
      <c r="H721" s="8">
        <v>0</v>
      </c>
      <c r="I721" s="8">
        <v>-1142</v>
      </c>
      <c r="J721" s="8">
        <v>0</v>
      </c>
      <c r="K721" s="8" t="s">
        <v>13</v>
      </c>
      <c r="L721" s="8" t="s">
        <v>5</v>
      </c>
      <c r="M721" s="8">
        <v>2026</v>
      </c>
      <c r="N721" s="8">
        <v>5</v>
      </c>
    </row>
    <row r="722" spans="2:14" x14ac:dyDescent="0.25">
      <c r="B722" s="8">
        <v>714</v>
      </c>
      <c r="C722" s="8" t="s">
        <v>123</v>
      </c>
      <c r="D722" s="10">
        <v>46160</v>
      </c>
      <c r="E722" s="8" t="s">
        <v>510</v>
      </c>
      <c r="F722" s="8" t="s">
        <v>21</v>
      </c>
      <c r="G722" s="8">
        <v>75</v>
      </c>
      <c r="H722" s="8">
        <v>0</v>
      </c>
      <c r="I722" s="8">
        <v>-75</v>
      </c>
      <c r="J722" s="8">
        <v>0</v>
      </c>
      <c r="K722" s="8" t="s">
        <v>22</v>
      </c>
      <c r="L722" s="8" t="s">
        <v>5</v>
      </c>
      <c r="M722" s="8">
        <v>2026</v>
      </c>
      <c r="N722" s="8">
        <v>5</v>
      </c>
    </row>
    <row r="723" spans="2:14" x14ac:dyDescent="0.25">
      <c r="B723" s="8">
        <v>715</v>
      </c>
      <c r="C723" s="8" t="s">
        <v>122</v>
      </c>
      <c r="D723" s="10">
        <v>46161</v>
      </c>
      <c r="E723" s="8" t="s">
        <v>488</v>
      </c>
      <c r="F723" s="8" t="s">
        <v>11</v>
      </c>
      <c r="G723" s="8">
        <v>140</v>
      </c>
      <c r="H723" s="8">
        <v>0</v>
      </c>
      <c r="I723" s="8">
        <v>-140</v>
      </c>
      <c r="J723" s="8">
        <v>0</v>
      </c>
      <c r="K723" s="8" t="s">
        <v>9</v>
      </c>
      <c r="L723" s="8" t="s">
        <v>5</v>
      </c>
      <c r="M723" s="8">
        <v>2026</v>
      </c>
      <c r="N723" s="8">
        <v>5</v>
      </c>
    </row>
    <row r="724" spans="2:14" x14ac:dyDescent="0.25">
      <c r="B724" s="8">
        <v>717</v>
      </c>
      <c r="C724" s="8" t="s">
        <v>122</v>
      </c>
      <c r="D724" s="10">
        <v>46162</v>
      </c>
      <c r="E724" s="8" t="s">
        <v>243</v>
      </c>
      <c r="F724" s="8" t="s">
        <v>21</v>
      </c>
      <c r="G724" s="8">
        <v>67</v>
      </c>
      <c r="H724" s="8">
        <v>0</v>
      </c>
      <c r="I724" s="8">
        <v>-67</v>
      </c>
      <c r="J724" s="8">
        <v>0</v>
      </c>
      <c r="K724" s="8" t="s">
        <v>22</v>
      </c>
      <c r="L724" s="8" t="s">
        <v>5</v>
      </c>
      <c r="M724" s="8">
        <v>2026</v>
      </c>
      <c r="N724" s="8">
        <v>5</v>
      </c>
    </row>
    <row r="725" spans="2:14" x14ac:dyDescent="0.25">
      <c r="B725" s="8">
        <v>718</v>
      </c>
      <c r="C725" s="8" t="s">
        <v>122</v>
      </c>
      <c r="D725" s="10">
        <v>46163</v>
      </c>
      <c r="E725" s="8" t="s">
        <v>489</v>
      </c>
      <c r="F725" s="8" t="s">
        <v>10</v>
      </c>
      <c r="G725" s="8">
        <v>550</v>
      </c>
      <c r="H725" s="8">
        <v>0</v>
      </c>
      <c r="I725" s="8">
        <v>-550</v>
      </c>
      <c r="J725" s="8">
        <v>0</v>
      </c>
      <c r="K725" s="8" t="s">
        <v>9</v>
      </c>
      <c r="L725" s="8" t="s">
        <v>5</v>
      </c>
      <c r="M725" s="8">
        <v>2026</v>
      </c>
      <c r="N725" s="8">
        <v>5</v>
      </c>
    </row>
    <row r="726" spans="2:14" x14ac:dyDescent="0.25">
      <c r="B726" s="8">
        <v>719</v>
      </c>
      <c r="C726" s="8" t="s">
        <v>122</v>
      </c>
      <c r="D726" s="10">
        <v>46163</v>
      </c>
      <c r="E726" s="8" t="s">
        <v>489</v>
      </c>
      <c r="F726" s="8" t="s">
        <v>10</v>
      </c>
      <c r="G726" s="8">
        <v>480</v>
      </c>
      <c r="H726" s="8">
        <v>0</v>
      </c>
      <c r="I726" s="8">
        <v>-480</v>
      </c>
      <c r="J726" s="8">
        <v>0</v>
      </c>
      <c r="K726" s="8" t="s">
        <v>9</v>
      </c>
      <c r="L726" s="8" t="s">
        <v>5</v>
      </c>
      <c r="M726" s="8">
        <v>2026</v>
      </c>
      <c r="N726" s="8">
        <v>5</v>
      </c>
    </row>
    <row r="727" spans="2:14" x14ac:dyDescent="0.25">
      <c r="B727" s="8">
        <v>720</v>
      </c>
      <c r="C727" s="8" t="s">
        <v>122</v>
      </c>
      <c r="D727" s="10">
        <v>46163</v>
      </c>
      <c r="E727" s="8" t="s">
        <v>147</v>
      </c>
      <c r="F727" s="8" t="s">
        <v>25</v>
      </c>
      <c r="G727" s="8">
        <v>45</v>
      </c>
      <c r="H727" s="8">
        <v>0</v>
      </c>
      <c r="I727" s="8">
        <v>-45</v>
      </c>
      <c r="J727" s="8">
        <v>0</v>
      </c>
      <c r="K727" s="8" t="s">
        <v>22</v>
      </c>
      <c r="L727" s="8" t="s">
        <v>5</v>
      </c>
      <c r="M727" s="8">
        <v>2026</v>
      </c>
      <c r="N727" s="8">
        <v>5</v>
      </c>
    </row>
    <row r="728" spans="2:14" x14ac:dyDescent="0.25">
      <c r="B728" s="8">
        <v>721</v>
      </c>
      <c r="C728" s="8" t="s">
        <v>122</v>
      </c>
      <c r="D728" s="10">
        <v>46163</v>
      </c>
      <c r="E728" s="8" t="s">
        <v>490</v>
      </c>
      <c r="F728" s="8" t="s">
        <v>25</v>
      </c>
      <c r="G728" s="8">
        <v>350</v>
      </c>
      <c r="H728" s="8">
        <v>0</v>
      </c>
      <c r="I728" s="8">
        <v>-350</v>
      </c>
      <c r="J728" s="8">
        <v>0</v>
      </c>
      <c r="K728" s="8" t="s">
        <v>22</v>
      </c>
      <c r="L728" s="8" t="s">
        <v>5</v>
      </c>
      <c r="M728" s="8">
        <v>2026</v>
      </c>
      <c r="N728" s="8">
        <v>5</v>
      </c>
    </row>
    <row r="729" spans="2:14" x14ac:dyDescent="0.25">
      <c r="B729" s="8">
        <v>722</v>
      </c>
      <c r="C729" s="8" t="s">
        <v>122</v>
      </c>
      <c r="D729" s="10">
        <v>46163</v>
      </c>
      <c r="E729" s="8" t="s">
        <v>249</v>
      </c>
      <c r="F729" s="8" t="s">
        <v>218</v>
      </c>
      <c r="G729" s="8">
        <v>353</v>
      </c>
      <c r="H729" s="8">
        <v>0</v>
      </c>
      <c r="I729" s="8">
        <v>-353</v>
      </c>
      <c r="J729" s="8">
        <v>0</v>
      </c>
      <c r="K729" s="8" t="s">
        <v>19</v>
      </c>
      <c r="L729" s="8" t="s">
        <v>5</v>
      </c>
      <c r="M729" s="8">
        <v>2026</v>
      </c>
      <c r="N729" s="8">
        <v>5</v>
      </c>
    </row>
    <row r="730" spans="2:14" x14ac:dyDescent="0.25">
      <c r="B730" s="8">
        <v>723</v>
      </c>
      <c r="C730" s="8" t="s">
        <v>122</v>
      </c>
      <c r="D730" s="10">
        <v>46163</v>
      </c>
      <c r="E730" s="8" t="s">
        <v>491</v>
      </c>
      <c r="F730" s="8" t="s">
        <v>25</v>
      </c>
      <c r="G730" s="8">
        <v>150</v>
      </c>
      <c r="H730" s="8">
        <v>0</v>
      </c>
      <c r="I730" s="8">
        <v>-150</v>
      </c>
      <c r="J730" s="8">
        <v>0</v>
      </c>
      <c r="K730" s="8" t="s">
        <v>22</v>
      </c>
      <c r="L730" s="8" t="s">
        <v>5</v>
      </c>
      <c r="M730" s="8">
        <v>2026</v>
      </c>
      <c r="N730" s="8">
        <v>5</v>
      </c>
    </row>
    <row r="731" spans="2:14" x14ac:dyDescent="0.25">
      <c r="B731" s="8">
        <v>724</v>
      </c>
      <c r="C731" s="8" t="s">
        <v>123</v>
      </c>
      <c r="D731" s="10">
        <v>46163</v>
      </c>
      <c r="E731" s="8" t="s">
        <v>511</v>
      </c>
      <c r="F731" s="8" t="s">
        <v>10</v>
      </c>
      <c r="G731" s="8">
        <v>23</v>
      </c>
      <c r="H731" s="8">
        <v>0</v>
      </c>
      <c r="I731" s="8">
        <v>-23</v>
      </c>
      <c r="J731" s="8">
        <v>0</v>
      </c>
      <c r="K731" s="8" t="s">
        <v>9</v>
      </c>
      <c r="L731" s="8" t="s">
        <v>5</v>
      </c>
      <c r="M731" s="8">
        <v>2026</v>
      </c>
      <c r="N731" s="8">
        <v>5</v>
      </c>
    </row>
    <row r="732" spans="2:14" x14ac:dyDescent="0.25">
      <c r="B732" s="8">
        <v>725</v>
      </c>
      <c r="C732" s="8" t="s">
        <v>123</v>
      </c>
      <c r="D732" s="10">
        <v>46163</v>
      </c>
      <c r="E732" s="8" t="s">
        <v>511</v>
      </c>
      <c r="F732" s="8" t="s">
        <v>10</v>
      </c>
      <c r="G732" s="8">
        <v>35</v>
      </c>
      <c r="H732" s="8">
        <v>0</v>
      </c>
      <c r="I732" s="8">
        <v>-35</v>
      </c>
      <c r="J732" s="8">
        <v>0</v>
      </c>
      <c r="K732" s="8" t="s">
        <v>9</v>
      </c>
      <c r="L732" s="8" t="s">
        <v>5</v>
      </c>
      <c r="M732" s="8">
        <v>2026</v>
      </c>
      <c r="N732" s="8">
        <v>5</v>
      </c>
    </row>
    <row r="733" spans="2:14" x14ac:dyDescent="0.25">
      <c r="B733" s="8">
        <v>726</v>
      </c>
      <c r="C733" s="8" t="s">
        <v>122</v>
      </c>
      <c r="D733" s="10">
        <v>46164</v>
      </c>
      <c r="E733" s="8" t="s">
        <v>243</v>
      </c>
      <c r="F733" s="8" t="s">
        <v>21</v>
      </c>
      <c r="G733" s="8">
        <v>27</v>
      </c>
      <c r="H733" s="8">
        <v>0</v>
      </c>
      <c r="I733" s="8">
        <v>-27</v>
      </c>
      <c r="J733" s="8">
        <v>0</v>
      </c>
      <c r="K733" s="8" t="s">
        <v>22</v>
      </c>
      <c r="L733" s="8" t="s">
        <v>5</v>
      </c>
      <c r="M733" s="8">
        <v>2026</v>
      </c>
      <c r="N733" s="8">
        <v>5</v>
      </c>
    </row>
    <row r="734" spans="2:14" x14ac:dyDescent="0.25">
      <c r="B734" s="8">
        <v>727</v>
      </c>
      <c r="C734" s="8" t="s">
        <v>122</v>
      </c>
      <c r="D734" s="10">
        <v>46164</v>
      </c>
      <c r="E734" s="8" t="s">
        <v>515</v>
      </c>
      <c r="F734" s="8" t="s">
        <v>218</v>
      </c>
      <c r="G734" s="8">
        <v>899</v>
      </c>
      <c r="H734" s="8">
        <v>0</v>
      </c>
      <c r="I734" s="8">
        <v>-899</v>
      </c>
      <c r="J734" s="8">
        <v>0</v>
      </c>
      <c r="K734" s="8" t="s">
        <v>19</v>
      </c>
      <c r="L734" s="8" t="s">
        <v>5</v>
      </c>
      <c r="M734" s="8">
        <v>2026</v>
      </c>
      <c r="N734" s="8">
        <v>5</v>
      </c>
    </row>
    <row r="735" spans="2:14" x14ac:dyDescent="0.25">
      <c r="B735" s="8">
        <v>728</v>
      </c>
      <c r="C735" s="8" t="s">
        <v>123</v>
      </c>
      <c r="D735" s="10">
        <v>46164</v>
      </c>
      <c r="E735" s="8" t="s">
        <v>511</v>
      </c>
      <c r="F735" s="8" t="s">
        <v>10</v>
      </c>
      <c r="G735" s="8">
        <v>28</v>
      </c>
      <c r="H735" s="8">
        <v>0</v>
      </c>
      <c r="I735" s="8">
        <v>-28</v>
      </c>
      <c r="J735" s="8">
        <v>0</v>
      </c>
      <c r="K735" s="8" t="s">
        <v>9</v>
      </c>
      <c r="L735" s="8" t="s">
        <v>5</v>
      </c>
      <c r="M735" s="8">
        <v>2026</v>
      </c>
      <c r="N735" s="8">
        <v>5</v>
      </c>
    </row>
    <row r="736" spans="2:14" x14ac:dyDescent="0.25">
      <c r="B736" s="8">
        <v>729</v>
      </c>
      <c r="C736" s="8" t="s">
        <v>123</v>
      </c>
      <c r="D736" s="10">
        <v>46164</v>
      </c>
      <c r="E736" s="8" t="s">
        <v>511</v>
      </c>
      <c r="F736" s="8" t="s">
        <v>10</v>
      </c>
      <c r="G736" s="8">
        <v>24</v>
      </c>
      <c r="H736" s="8">
        <v>0</v>
      </c>
      <c r="I736" s="8">
        <v>-24</v>
      </c>
      <c r="J736" s="8">
        <v>0</v>
      </c>
      <c r="K736" s="8" t="s">
        <v>9</v>
      </c>
      <c r="L736" s="8" t="s">
        <v>5</v>
      </c>
      <c r="M736" s="8">
        <v>2026</v>
      </c>
      <c r="N736" s="8">
        <v>5</v>
      </c>
    </row>
    <row r="737" spans="2:14" x14ac:dyDescent="0.25">
      <c r="B737" s="8">
        <v>730</v>
      </c>
      <c r="C737" s="8" t="s">
        <v>123</v>
      </c>
      <c r="D737" s="10">
        <v>46164</v>
      </c>
      <c r="E737" s="8" t="s">
        <v>511</v>
      </c>
      <c r="F737" s="8" t="s">
        <v>10</v>
      </c>
      <c r="G737" s="8">
        <v>23</v>
      </c>
      <c r="H737" s="8">
        <v>0</v>
      </c>
      <c r="I737" s="8">
        <v>-23</v>
      </c>
      <c r="J737" s="8">
        <v>0</v>
      </c>
      <c r="K737" s="8" t="s">
        <v>9</v>
      </c>
      <c r="L737" s="8" t="s">
        <v>5</v>
      </c>
      <c r="M737" s="8">
        <v>2026</v>
      </c>
      <c r="N737" s="8">
        <v>5</v>
      </c>
    </row>
    <row r="738" spans="2:14" x14ac:dyDescent="0.25">
      <c r="B738" s="8">
        <v>731</v>
      </c>
      <c r="C738" s="8" t="s">
        <v>123</v>
      </c>
      <c r="D738" s="10">
        <v>46164</v>
      </c>
      <c r="E738" s="8" t="s">
        <v>511</v>
      </c>
      <c r="F738" s="8" t="s">
        <v>10</v>
      </c>
      <c r="G738" s="8">
        <v>28</v>
      </c>
      <c r="H738" s="8">
        <v>0</v>
      </c>
      <c r="I738" s="8">
        <v>-28</v>
      </c>
      <c r="J738" s="8">
        <v>0</v>
      </c>
      <c r="K738" s="8" t="s">
        <v>9</v>
      </c>
      <c r="L738" s="8" t="s">
        <v>5</v>
      </c>
      <c r="M738" s="8">
        <v>2026</v>
      </c>
      <c r="N738" s="8">
        <v>5</v>
      </c>
    </row>
    <row r="739" spans="2:14" x14ac:dyDescent="0.25">
      <c r="B739" s="8">
        <v>732</v>
      </c>
      <c r="C739" s="8" t="s">
        <v>123</v>
      </c>
      <c r="D739" s="10">
        <v>46164</v>
      </c>
      <c r="E739" s="8" t="s">
        <v>290</v>
      </c>
      <c r="F739" s="8" t="s">
        <v>25</v>
      </c>
      <c r="G739" s="8">
        <v>115</v>
      </c>
      <c r="H739" s="8">
        <v>0</v>
      </c>
      <c r="I739" s="8">
        <v>-115</v>
      </c>
      <c r="J739" s="8">
        <v>0</v>
      </c>
      <c r="K739" s="8" t="s">
        <v>22</v>
      </c>
      <c r="L739" s="8" t="s">
        <v>5</v>
      </c>
      <c r="M739" s="8">
        <v>2026</v>
      </c>
      <c r="N739" s="8">
        <v>5</v>
      </c>
    </row>
    <row r="740" spans="2:14" x14ac:dyDescent="0.25">
      <c r="B740" s="8">
        <v>733</v>
      </c>
      <c r="C740" s="8" t="s">
        <v>123</v>
      </c>
      <c r="D740" s="10">
        <v>46164</v>
      </c>
      <c r="E740" s="8" t="s">
        <v>144</v>
      </c>
      <c r="F740" s="8" t="s">
        <v>21</v>
      </c>
      <c r="G740" s="8">
        <v>100</v>
      </c>
      <c r="H740" s="8">
        <v>0</v>
      </c>
      <c r="I740" s="8">
        <v>-100</v>
      </c>
      <c r="J740" s="8">
        <v>0</v>
      </c>
      <c r="K740" s="8" t="s">
        <v>22</v>
      </c>
      <c r="L740" s="8" t="s">
        <v>5</v>
      </c>
      <c r="M740" s="8">
        <v>2026</v>
      </c>
      <c r="N740" s="8">
        <v>5</v>
      </c>
    </row>
    <row r="741" spans="2:14" x14ac:dyDescent="0.25">
      <c r="B741" s="8">
        <v>734</v>
      </c>
      <c r="C741" s="8" t="s">
        <v>122</v>
      </c>
      <c r="D741" s="10">
        <v>46165</v>
      </c>
      <c r="E741" s="8" t="s">
        <v>8</v>
      </c>
      <c r="F741" s="8" t="s">
        <v>32</v>
      </c>
      <c r="G741" s="8">
        <v>500</v>
      </c>
      <c r="H741" s="8">
        <v>0</v>
      </c>
      <c r="I741" s="8">
        <v>-500</v>
      </c>
      <c r="J741" s="8">
        <v>0</v>
      </c>
      <c r="K741" s="8" t="s">
        <v>28</v>
      </c>
      <c r="L741" s="8" t="s">
        <v>5</v>
      </c>
      <c r="M741" s="8">
        <v>2026</v>
      </c>
      <c r="N741" s="8">
        <v>5</v>
      </c>
    </row>
    <row r="742" spans="2:14" x14ac:dyDescent="0.25">
      <c r="B742" s="8">
        <v>735</v>
      </c>
      <c r="C742" s="8" t="s">
        <v>122</v>
      </c>
      <c r="D742" s="10">
        <v>46165</v>
      </c>
      <c r="E742" s="8" t="s">
        <v>147</v>
      </c>
      <c r="F742" s="8" t="s">
        <v>32</v>
      </c>
      <c r="G742" s="8">
        <v>136</v>
      </c>
      <c r="H742" s="8">
        <v>0</v>
      </c>
      <c r="I742" s="8">
        <v>-136</v>
      </c>
      <c r="J742" s="8">
        <v>0</v>
      </c>
      <c r="K742" s="8" t="s">
        <v>28</v>
      </c>
      <c r="L742" s="8" t="s">
        <v>5</v>
      </c>
      <c r="M742" s="8">
        <v>2026</v>
      </c>
      <c r="N742" s="8">
        <v>5</v>
      </c>
    </row>
    <row r="743" spans="2:14" x14ac:dyDescent="0.25">
      <c r="B743" s="8">
        <v>736</v>
      </c>
      <c r="C743" s="8" t="s">
        <v>122</v>
      </c>
      <c r="D743" s="10">
        <v>46165</v>
      </c>
      <c r="E743" s="8" t="s">
        <v>234</v>
      </c>
      <c r="F743" s="8" t="s">
        <v>32</v>
      </c>
      <c r="G743" s="8">
        <v>10</v>
      </c>
      <c r="H743" s="8">
        <v>0</v>
      </c>
      <c r="I743" s="8">
        <v>-10</v>
      </c>
      <c r="J743" s="8">
        <v>0</v>
      </c>
      <c r="K743" s="8" t="s">
        <v>28</v>
      </c>
      <c r="L743" s="8" t="s">
        <v>5</v>
      </c>
      <c r="M743" s="8">
        <v>2026</v>
      </c>
      <c r="N743" s="8">
        <v>5</v>
      </c>
    </row>
    <row r="744" spans="2:14" x14ac:dyDescent="0.25">
      <c r="B744" s="8">
        <v>737</v>
      </c>
      <c r="C744" s="8" t="s">
        <v>122</v>
      </c>
      <c r="D744" s="10">
        <v>46165</v>
      </c>
      <c r="E744" s="8" t="s">
        <v>516</v>
      </c>
      <c r="F744" s="8" t="s">
        <v>32</v>
      </c>
      <c r="G744" s="8">
        <v>140</v>
      </c>
      <c r="H744" s="8">
        <v>0</v>
      </c>
      <c r="I744" s="8">
        <v>-140</v>
      </c>
      <c r="J744" s="8">
        <v>0</v>
      </c>
      <c r="K744" s="8" t="s">
        <v>28</v>
      </c>
      <c r="L744" s="8" t="s">
        <v>5</v>
      </c>
      <c r="M744" s="8">
        <v>2026</v>
      </c>
      <c r="N744" s="8">
        <v>5</v>
      </c>
    </row>
    <row r="745" spans="2:14" x14ac:dyDescent="0.25">
      <c r="B745" s="8">
        <v>738</v>
      </c>
      <c r="C745" s="8" t="s">
        <v>122</v>
      </c>
      <c r="D745" s="10">
        <v>46165</v>
      </c>
      <c r="E745" s="8" t="s">
        <v>221</v>
      </c>
      <c r="F745" s="8" t="s">
        <v>32</v>
      </c>
      <c r="G745" s="8">
        <v>450</v>
      </c>
      <c r="H745" s="8">
        <v>0</v>
      </c>
      <c r="I745" s="8">
        <v>-450</v>
      </c>
      <c r="J745" s="8">
        <v>0</v>
      </c>
      <c r="K745" s="8" t="s">
        <v>28</v>
      </c>
      <c r="L745" s="8" t="s">
        <v>5</v>
      </c>
      <c r="M745" s="8">
        <v>2026</v>
      </c>
      <c r="N745" s="8">
        <v>5</v>
      </c>
    </row>
    <row r="746" spans="2:14" x14ac:dyDescent="0.25">
      <c r="B746" s="8">
        <v>739</v>
      </c>
      <c r="C746" s="8" t="s">
        <v>122</v>
      </c>
      <c r="D746" s="10">
        <v>46165</v>
      </c>
      <c r="E746" s="8" t="s">
        <v>517</v>
      </c>
      <c r="F746" s="8" t="s">
        <v>24</v>
      </c>
      <c r="G746" s="8">
        <v>732</v>
      </c>
      <c r="H746" s="8">
        <v>0</v>
      </c>
      <c r="I746" s="8">
        <v>-732</v>
      </c>
      <c r="J746" s="8">
        <v>0</v>
      </c>
      <c r="K746" s="8" t="s">
        <v>22</v>
      </c>
      <c r="L746" s="8" t="s">
        <v>5</v>
      </c>
      <c r="M746" s="8">
        <v>2026</v>
      </c>
      <c r="N746" s="8">
        <v>5</v>
      </c>
    </row>
    <row r="747" spans="2:14" x14ac:dyDescent="0.25">
      <c r="B747" s="8">
        <v>740</v>
      </c>
      <c r="C747" s="8" t="s">
        <v>122</v>
      </c>
      <c r="D747" s="10">
        <v>46165</v>
      </c>
      <c r="E747" s="8" t="s">
        <v>518</v>
      </c>
      <c r="F747" s="8" t="s">
        <v>25</v>
      </c>
      <c r="G747" s="8">
        <v>90</v>
      </c>
      <c r="H747" s="8">
        <v>0</v>
      </c>
      <c r="I747" s="8">
        <v>-90</v>
      </c>
      <c r="J747" s="8">
        <v>0</v>
      </c>
      <c r="K747" s="8" t="s">
        <v>22</v>
      </c>
      <c r="L747" s="8" t="s">
        <v>5</v>
      </c>
      <c r="M747" s="8">
        <v>2026</v>
      </c>
      <c r="N747" s="8">
        <v>5</v>
      </c>
    </row>
    <row r="748" spans="2:14" x14ac:dyDescent="0.25">
      <c r="B748" s="8">
        <v>741</v>
      </c>
      <c r="C748" s="8" t="s">
        <v>122</v>
      </c>
      <c r="D748" s="10">
        <v>46165</v>
      </c>
      <c r="E748" s="8" t="s">
        <v>519</v>
      </c>
      <c r="F748" s="8" t="s">
        <v>21</v>
      </c>
      <c r="G748" s="8">
        <v>277</v>
      </c>
      <c r="H748" s="8">
        <v>0</v>
      </c>
      <c r="I748" s="8">
        <v>-277</v>
      </c>
      <c r="J748" s="8">
        <v>0</v>
      </c>
      <c r="K748" s="8" t="s">
        <v>22</v>
      </c>
      <c r="L748" s="8" t="s">
        <v>5</v>
      </c>
      <c r="M748" s="8">
        <v>2026</v>
      </c>
      <c r="N748" s="8">
        <v>5</v>
      </c>
    </row>
    <row r="749" spans="2:14" x14ac:dyDescent="0.25">
      <c r="B749" s="8">
        <v>742</v>
      </c>
      <c r="C749" s="8" t="s">
        <v>123</v>
      </c>
      <c r="D749" s="10">
        <v>46165</v>
      </c>
      <c r="E749" s="8" t="s">
        <v>512</v>
      </c>
      <c r="F749" s="8" t="s">
        <v>26</v>
      </c>
      <c r="G749" s="8">
        <v>483</v>
      </c>
      <c r="H749" s="8">
        <v>0</v>
      </c>
      <c r="I749" s="8">
        <v>-483</v>
      </c>
      <c r="J749" s="8">
        <v>0</v>
      </c>
      <c r="K749" s="8" t="s">
        <v>22</v>
      </c>
      <c r="L749" s="8" t="s">
        <v>5</v>
      </c>
      <c r="M749" s="8">
        <v>2026</v>
      </c>
      <c r="N749" s="8">
        <v>5</v>
      </c>
    </row>
    <row r="750" spans="2:14" x14ac:dyDescent="0.25">
      <c r="B750" s="8">
        <v>743</v>
      </c>
      <c r="C750" s="8" t="s">
        <v>123</v>
      </c>
      <c r="D750" s="10">
        <v>46165</v>
      </c>
      <c r="E750" s="8" t="s">
        <v>147</v>
      </c>
      <c r="F750" s="8" t="s">
        <v>25</v>
      </c>
      <c r="G750" s="8">
        <v>10</v>
      </c>
      <c r="H750" s="8">
        <v>0</v>
      </c>
      <c r="I750" s="8">
        <v>-10</v>
      </c>
      <c r="J750" s="8">
        <v>0</v>
      </c>
      <c r="K750" s="8" t="s">
        <v>22</v>
      </c>
      <c r="L750" s="8" t="s">
        <v>5</v>
      </c>
      <c r="M750" s="8">
        <v>2026</v>
      </c>
      <c r="N750" s="8">
        <v>5</v>
      </c>
    </row>
    <row r="751" spans="2:14" x14ac:dyDescent="0.25">
      <c r="B751" s="8">
        <v>744</v>
      </c>
      <c r="C751" s="8" t="s">
        <v>122</v>
      </c>
      <c r="D751" s="10">
        <v>46166</v>
      </c>
      <c r="E751" s="8" t="s">
        <v>144</v>
      </c>
      <c r="F751" s="8" t="s">
        <v>21</v>
      </c>
      <c r="G751" s="8">
        <v>120</v>
      </c>
      <c r="H751" s="8">
        <v>0</v>
      </c>
      <c r="I751" s="8">
        <v>-120</v>
      </c>
      <c r="J751" s="8">
        <v>0</v>
      </c>
      <c r="K751" s="8" t="s">
        <v>22</v>
      </c>
      <c r="L751" s="8" t="s">
        <v>5</v>
      </c>
      <c r="M751" s="8">
        <v>2026</v>
      </c>
      <c r="N751" s="8">
        <v>5</v>
      </c>
    </row>
    <row r="752" spans="2:14" x14ac:dyDescent="0.25">
      <c r="B752" s="8">
        <v>745</v>
      </c>
      <c r="C752" s="8" t="s">
        <v>122</v>
      </c>
      <c r="D752" s="10">
        <v>46166</v>
      </c>
      <c r="E752" s="8" t="s">
        <v>243</v>
      </c>
      <c r="F752" s="8" t="s">
        <v>21</v>
      </c>
      <c r="G752" s="8">
        <v>53</v>
      </c>
      <c r="H752" s="8">
        <v>0</v>
      </c>
      <c r="I752" s="8">
        <v>-53</v>
      </c>
      <c r="J752" s="8">
        <v>0</v>
      </c>
      <c r="K752" s="8" t="s">
        <v>22</v>
      </c>
      <c r="L752" s="8" t="s">
        <v>5</v>
      </c>
      <c r="M752" s="8">
        <v>2026</v>
      </c>
      <c r="N752" s="8">
        <v>5</v>
      </c>
    </row>
    <row r="753" spans="2:14" x14ac:dyDescent="0.25">
      <c r="B753" s="8">
        <v>746</v>
      </c>
      <c r="C753" s="8" t="s">
        <v>122</v>
      </c>
      <c r="D753" s="10">
        <v>46166</v>
      </c>
      <c r="E753" s="8" t="s">
        <v>520</v>
      </c>
      <c r="F753" s="8" t="s">
        <v>11</v>
      </c>
      <c r="G753" s="8">
        <v>3700</v>
      </c>
      <c r="H753" s="8">
        <v>0</v>
      </c>
      <c r="I753" s="8">
        <v>-3700</v>
      </c>
      <c r="J753" s="8">
        <v>0</v>
      </c>
      <c r="K753" s="8" t="s">
        <v>9</v>
      </c>
      <c r="L753" s="8" t="s">
        <v>5</v>
      </c>
      <c r="M753" s="8">
        <v>2026</v>
      </c>
      <c r="N753" s="8">
        <v>5</v>
      </c>
    </row>
    <row r="754" spans="2:14" x14ac:dyDescent="0.25">
      <c r="B754" s="8">
        <v>747</v>
      </c>
      <c r="C754" s="8" t="s">
        <v>122</v>
      </c>
      <c r="D754" s="10">
        <v>46167</v>
      </c>
      <c r="E754" s="8" t="s">
        <v>243</v>
      </c>
      <c r="F754" s="8" t="s">
        <v>21</v>
      </c>
      <c r="G754" s="8">
        <v>210</v>
      </c>
      <c r="H754" s="8">
        <v>0</v>
      </c>
      <c r="I754" s="8">
        <v>-210</v>
      </c>
      <c r="J754" s="8">
        <v>0</v>
      </c>
      <c r="K754" s="8" t="s">
        <v>22</v>
      </c>
      <c r="L754" s="8" t="s">
        <v>5</v>
      </c>
      <c r="M754" s="8">
        <v>2026</v>
      </c>
      <c r="N754" s="8">
        <v>5</v>
      </c>
    </row>
    <row r="755" spans="2:14" x14ac:dyDescent="0.25">
      <c r="B755" s="8">
        <v>748</v>
      </c>
      <c r="C755" s="8" t="s">
        <v>122</v>
      </c>
      <c r="D755" s="10">
        <v>46167</v>
      </c>
      <c r="E755" s="8" t="s">
        <v>243</v>
      </c>
      <c r="F755" s="8" t="s">
        <v>21</v>
      </c>
      <c r="G755" s="8">
        <v>40</v>
      </c>
      <c r="H755" s="8">
        <v>0</v>
      </c>
      <c r="I755" s="8">
        <v>-40</v>
      </c>
      <c r="J755" s="8">
        <v>0</v>
      </c>
      <c r="K755" s="8" t="s">
        <v>22</v>
      </c>
      <c r="L755" s="8" t="s">
        <v>5</v>
      </c>
      <c r="M755" s="8">
        <v>2026</v>
      </c>
      <c r="N755" s="8">
        <v>5</v>
      </c>
    </row>
    <row r="756" spans="2:14" x14ac:dyDescent="0.25">
      <c r="B756" s="8">
        <v>749</v>
      </c>
      <c r="C756" s="8" t="s">
        <v>122</v>
      </c>
      <c r="D756" s="10">
        <v>46168</v>
      </c>
      <c r="E756" s="8" t="s">
        <v>536</v>
      </c>
      <c r="F756" s="8" t="s">
        <v>6</v>
      </c>
      <c r="G756" s="8">
        <v>181</v>
      </c>
      <c r="H756" s="8">
        <v>0</v>
      </c>
      <c r="I756" s="8">
        <v>-181</v>
      </c>
      <c r="J756" s="8">
        <v>0</v>
      </c>
      <c r="K756" s="8" t="s">
        <v>4</v>
      </c>
      <c r="L756" s="8" t="s">
        <v>5</v>
      </c>
      <c r="M756" s="8">
        <v>2026</v>
      </c>
      <c r="N756" s="8">
        <v>5</v>
      </c>
    </row>
    <row r="757" spans="2:14" x14ac:dyDescent="0.25">
      <c r="B757" s="8">
        <v>750</v>
      </c>
      <c r="C757" s="8" t="s">
        <v>122</v>
      </c>
      <c r="D757" s="10">
        <v>46168</v>
      </c>
      <c r="E757" s="8" t="s">
        <v>536</v>
      </c>
      <c r="F757" s="8" t="s">
        <v>6</v>
      </c>
      <c r="G757" s="8">
        <v>174</v>
      </c>
      <c r="H757" s="8">
        <v>0</v>
      </c>
      <c r="I757" s="8">
        <v>-174</v>
      </c>
      <c r="J757" s="8">
        <v>0</v>
      </c>
      <c r="K757" s="8" t="s">
        <v>4</v>
      </c>
      <c r="L757" s="8" t="s">
        <v>5</v>
      </c>
      <c r="M757" s="8">
        <v>2026</v>
      </c>
      <c r="N757" s="8">
        <v>5</v>
      </c>
    </row>
    <row r="758" spans="2:14" x14ac:dyDescent="0.25">
      <c r="B758" s="8">
        <v>751</v>
      </c>
      <c r="C758" s="8" t="s">
        <v>123</v>
      </c>
      <c r="D758" s="10">
        <v>46170</v>
      </c>
      <c r="E758" s="8" t="s">
        <v>513</v>
      </c>
      <c r="F758" s="8" t="s">
        <v>6</v>
      </c>
      <c r="G758" s="8">
        <v>96</v>
      </c>
      <c r="H758" s="8">
        <v>0</v>
      </c>
      <c r="I758" s="8">
        <v>-96</v>
      </c>
      <c r="J758" s="8">
        <v>0</v>
      </c>
      <c r="K758" s="8" t="s">
        <v>4</v>
      </c>
      <c r="L758" s="8" t="s">
        <v>5</v>
      </c>
      <c r="M758" s="8">
        <v>2026</v>
      </c>
      <c r="N758" s="8">
        <v>5</v>
      </c>
    </row>
    <row r="759" spans="2:14" x14ac:dyDescent="0.25">
      <c r="B759" s="8">
        <v>752</v>
      </c>
      <c r="C759" s="8" t="s">
        <v>123</v>
      </c>
      <c r="D759" s="10">
        <v>46170</v>
      </c>
      <c r="E759" s="8" t="s">
        <v>514</v>
      </c>
      <c r="F759" s="8" t="s">
        <v>25</v>
      </c>
      <c r="G759" s="8">
        <v>892</v>
      </c>
      <c r="H759" s="8">
        <v>0</v>
      </c>
      <c r="I759" s="8">
        <v>-892</v>
      </c>
      <c r="J759" s="8">
        <v>0</v>
      </c>
      <c r="K759" s="8" t="s">
        <v>22</v>
      </c>
      <c r="L759" s="8" t="s">
        <v>5</v>
      </c>
      <c r="M759" s="8">
        <v>2026</v>
      </c>
      <c r="N759" s="8">
        <v>5</v>
      </c>
    </row>
    <row r="760" spans="2:14" x14ac:dyDescent="0.25">
      <c r="B760" s="8">
        <v>753</v>
      </c>
      <c r="C760" s="8" t="s">
        <v>122</v>
      </c>
      <c r="D760" s="10">
        <v>46171</v>
      </c>
      <c r="E760" s="8" t="s">
        <v>522</v>
      </c>
      <c r="F760" s="8" t="s">
        <v>10</v>
      </c>
      <c r="G760" s="8">
        <v>509</v>
      </c>
      <c r="H760" s="8">
        <v>0</v>
      </c>
      <c r="I760" s="8">
        <v>-509</v>
      </c>
      <c r="J760" s="8">
        <v>0</v>
      </c>
      <c r="K760" s="8" t="s">
        <v>9</v>
      </c>
      <c r="L760" s="8" t="s">
        <v>5</v>
      </c>
      <c r="M760" s="8">
        <v>2026</v>
      </c>
      <c r="N760" s="8">
        <v>5</v>
      </c>
    </row>
    <row r="761" spans="2:14" x14ac:dyDescent="0.25">
      <c r="B761" s="8">
        <v>754</v>
      </c>
      <c r="C761" s="8" t="s">
        <v>122</v>
      </c>
      <c r="D761" s="10">
        <v>46174</v>
      </c>
      <c r="E761" s="8" t="s">
        <v>521</v>
      </c>
      <c r="F761" s="8" t="s">
        <v>10</v>
      </c>
      <c r="G761" s="8">
        <v>592</v>
      </c>
      <c r="H761" s="8">
        <v>0</v>
      </c>
      <c r="I761" s="8">
        <v>-592</v>
      </c>
      <c r="J761" s="8">
        <v>0</v>
      </c>
      <c r="K761" s="8" t="s">
        <v>9</v>
      </c>
      <c r="L761" s="8" t="s">
        <v>5</v>
      </c>
      <c r="M761" s="8">
        <v>2026</v>
      </c>
      <c r="N761" s="8">
        <v>6</v>
      </c>
    </row>
    <row r="762" spans="2:14" x14ac:dyDescent="0.25">
      <c r="B762" s="8">
        <v>755</v>
      </c>
      <c r="C762" s="8" t="s">
        <v>123</v>
      </c>
      <c r="D762" s="10">
        <v>46174</v>
      </c>
      <c r="E762" s="8" t="s">
        <v>496</v>
      </c>
      <c r="F762" s="8" t="s">
        <v>86</v>
      </c>
      <c r="G762" s="8">
        <v>0</v>
      </c>
      <c r="H762" s="8">
        <v>48551</v>
      </c>
      <c r="I762" s="8">
        <v>48551</v>
      </c>
      <c r="J762" s="8">
        <v>0</v>
      </c>
      <c r="K762" s="8" t="s">
        <v>43</v>
      </c>
      <c r="L762" s="8" t="s">
        <v>44</v>
      </c>
      <c r="M762" s="8">
        <v>2026</v>
      </c>
      <c r="N762" s="8">
        <v>6</v>
      </c>
    </row>
    <row r="763" spans="2:14" x14ac:dyDescent="0.25">
      <c r="B763" s="8">
        <v>756</v>
      </c>
      <c r="C763" s="8" t="s">
        <v>123</v>
      </c>
      <c r="D763" s="10">
        <v>46174</v>
      </c>
      <c r="E763" s="8" t="s">
        <v>124</v>
      </c>
      <c r="F763" s="8" t="s">
        <v>36</v>
      </c>
      <c r="G763" s="8">
        <v>12000</v>
      </c>
      <c r="H763" s="8">
        <v>0</v>
      </c>
      <c r="I763" s="8">
        <v>-12000</v>
      </c>
      <c r="J763" s="8">
        <v>0</v>
      </c>
      <c r="K763" s="8" t="s">
        <v>34</v>
      </c>
      <c r="L763" s="8" t="s">
        <v>35</v>
      </c>
      <c r="M763" s="8">
        <v>2026</v>
      </c>
      <c r="N763" s="8">
        <v>6</v>
      </c>
    </row>
    <row r="764" spans="2:14" x14ac:dyDescent="0.25">
      <c r="B764" s="8">
        <v>757</v>
      </c>
      <c r="C764" s="8" t="s">
        <v>123</v>
      </c>
      <c r="D764" s="10">
        <v>46143</v>
      </c>
      <c r="E764" s="8" t="s">
        <v>124</v>
      </c>
      <c r="F764" s="8" t="s">
        <v>36</v>
      </c>
      <c r="G764" s="8">
        <v>12000</v>
      </c>
      <c r="H764" s="8">
        <v>0</v>
      </c>
      <c r="I764" s="8">
        <v>-12000</v>
      </c>
      <c r="J764" s="8">
        <v>0</v>
      </c>
      <c r="K764" s="8" t="s">
        <v>34</v>
      </c>
      <c r="L764" s="8" t="s">
        <v>35</v>
      </c>
      <c r="M764" s="8">
        <v>2026</v>
      </c>
      <c r="N764" s="8">
        <v>5</v>
      </c>
    </row>
    <row r="765" spans="2:14" x14ac:dyDescent="0.25">
      <c r="B765" s="8"/>
      <c r="C765" s="8"/>
      <c r="D765" s="10">
        <v>45962</v>
      </c>
      <c r="E765" s="8"/>
      <c r="F765" s="8" t="s">
        <v>3</v>
      </c>
      <c r="G765" s="8"/>
      <c r="H765" s="8"/>
      <c r="I765" s="8"/>
      <c r="J765" s="8">
        <v>-15500</v>
      </c>
      <c r="K765" s="8" t="s">
        <v>4</v>
      </c>
      <c r="L765" s="8" t="s">
        <v>5</v>
      </c>
      <c r="M765" s="8">
        <v>2025</v>
      </c>
      <c r="N765" s="8">
        <v>11</v>
      </c>
    </row>
    <row r="766" spans="2:14" x14ac:dyDescent="0.25">
      <c r="B766" s="8"/>
      <c r="C766" s="8"/>
      <c r="D766" s="10">
        <v>45992</v>
      </c>
      <c r="E766" s="8"/>
      <c r="F766" s="8" t="s">
        <v>3</v>
      </c>
      <c r="G766" s="8"/>
      <c r="H766" s="8"/>
      <c r="I766" s="8"/>
      <c r="J766" s="8">
        <v>-15500</v>
      </c>
      <c r="K766" s="8" t="s">
        <v>4</v>
      </c>
      <c r="L766" s="8" t="s">
        <v>5</v>
      </c>
      <c r="M766" s="8">
        <v>2025</v>
      </c>
      <c r="N766" s="8">
        <v>12</v>
      </c>
    </row>
    <row r="767" spans="2:14" x14ac:dyDescent="0.25">
      <c r="B767" s="8"/>
      <c r="C767" s="8"/>
      <c r="D767" s="10">
        <v>45962</v>
      </c>
      <c r="E767" s="8"/>
      <c r="F767" s="8" t="s">
        <v>6</v>
      </c>
      <c r="G767" s="8"/>
      <c r="H767" s="8"/>
      <c r="I767" s="8"/>
      <c r="J767" s="8">
        <v>-609</v>
      </c>
      <c r="K767" s="8" t="s">
        <v>4</v>
      </c>
      <c r="L767" s="8" t="s">
        <v>5</v>
      </c>
      <c r="M767" s="8">
        <v>2025</v>
      </c>
      <c r="N767" s="8">
        <v>11</v>
      </c>
    </row>
    <row r="768" spans="2:14" x14ac:dyDescent="0.25">
      <c r="B768" s="8"/>
      <c r="C768" s="8"/>
      <c r="D768" s="10">
        <v>45992</v>
      </c>
      <c r="E768" s="8"/>
      <c r="F768" s="8" t="s">
        <v>6</v>
      </c>
      <c r="G768" s="8"/>
      <c r="H768" s="8"/>
      <c r="I768" s="8"/>
      <c r="J768" s="8">
        <v>-800</v>
      </c>
      <c r="K768" s="8" t="s">
        <v>4</v>
      </c>
      <c r="L768" s="8" t="s">
        <v>5</v>
      </c>
      <c r="M768" s="8">
        <v>2025</v>
      </c>
      <c r="N768" s="8">
        <v>12</v>
      </c>
    </row>
    <row r="769" spans="2:14" x14ac:dyDescent="0.25">
      <c r="B769" s="8"/>
      <c r="C769" s="8"/>
      <c r="D769" s="10">
        <v>45962</v>
      </c>
      <c r="E769" s="8"/>
      <c r="F769" s="8" t="s">
        <v>81</v>
      </c>
      <c r="G769" s="8"/>
      <c r="H769" s="8"/>
      <c r="I769" s="8"/>
      <c r="J769" s="8">
        <v>-250</v>
      </c>
      <c r="K769" s="8" t="s">
        <v>4</v>
      </c>
      <c r="L769" s="8" t="s">
        <v>5</v>
      </c>
      <c r="M769" s="8">
        <v>2025</v>
      </c>
      <c r="N769" s="8">
        <v>11</v>
      </c>
    </row>
    <row r="770" spans="2:14" x14ac:dyDescent="0.25">
      <c r="B770" s="8"/>
      <c r="C770" s="8"/>
      <c r="D770" s="10">
        <v>45992</v>
      </c>
      <c r="E770" s="8"/>
      <c r="F770" s="8" t="s">
        <v>81</v>
      </c>
      <c r="G770" s="8"/>
      <c r="H770" s="8"/>
      <c r="I770" s="8"/>
      <c r="J770" s="8">
        <v>-250</v>
      </c>
      <c r="K770" s="8" t="s">
        <v>4</v>
      </c>
      <c r="L770" s="8" t="s">
        <v>5</v>
      </c>
      <c r="M770" s="8">
        <v>2025</v>
      </c>
      <c r="N770" s="8">
        <v>12</v>
      </c>
    </row>
    <row r="771" spans="2:14" x14ac:dyDescent="0.25">
      <c r="B771" s="8"/>
      <c r="C771" s="8"/>
      <c r="D771" s="10">
        <v>45962</v>
      </c>
      <c r="E771" s="8"/>
      <c r="F771" s="8" t="s">
        <v>7</v>
      </c>
      <c r="G771" s="8"/>
      <c r="H771" s="8"/>
      <c r="I771" s="8"/>
      <c r="J771" s="8">
        <v>-2000</v>
      </c>
      <c r="K771" s="8" t="s">
        <v>4</v>
      </c>
      <c r="L771" s="8" t="s">
        <v>5</v>
      </c>
      <c r="M771" s="8">
        <v>2025</v>
      </c>
      <c r="N771" s="8">
        <v>11</v>
      </c>
    </row>
    <row r="772" spans="2:14" x14ac:dyDescent="0.25">
      <c r="B772" s="8"/>
      <c r="C772" s="8"/>
      <c r="D772" s="10">
        <v>45992</v>
      </c>
      <c r="E772" s="8"/>
      <c r="F772" s="8" t="s">
        <v>7</v>
      </c>
      <c r="G772" s="8"/>
      <c r="H772" s="8"/>
      <c r="I772" s="8"/>
      <c r="J772" s="8">
        <v>-7635</v>
      </c>
      <c r="K772" s="8" t="s">
        <v>4</v>
      </c>
      <c r="L772" s="8" t="s">
        <v>5</v>
      </c>
      <c r="M772" s="8">
        <v>2025</v>
      </c>
      <c r="N772" s="8">
        <v>12</v>
      </c>
    </row>
    <row r="773" spans="2:14" x14ac:dyDescent="0.25">
      <c r="B773" s="8"/>
      <c r="C773" s="8"/>
      <c r="D773" s="10">
        <v>45962</v>
      </c>
      <c r="E773" s="8"/>
      <c r="F773" s="8" t="s">
        <v>8</v>
      </c>
      <c r="G773" s="8"/>
      <c r="H773" s="8"/>
      <c r="I773" s="8"/>
      <c r="J773" s="8">
        <v>-1200</v>
      </c>
      <c r="K773" s="8" t="s">
        <v>9</v>
      </c>
      <c r="L773" s="8" t="s">
        <v>5</v>
      </c>
      <c r="M773" s="8">
        <v>2025</v>
      </c>
      <c r="N773" s="8">
        <v>11</v>
      </c>
    </row>
    <row r="774" spans="2:14" x14ac:dyDescent="0.25">
      <c r="B774" s="8"/>
      <c r="C774" s="8"/>
      <c r="D774" s="10">
        <v>45992</v>
      </c>
      <c r="E774" s="8"/>
      <c r="F774" s="8" t="s">
        <v>8</v>
      </c>
      <c r="G774" s="8"/>
      <c r="H774" s="8"/>
      <c r="I774" s="8"/>
      <c r="J774" s="8">
        <v>-1200</v>
      </c>
      <c r="K774" s="8" t="s">
        <v>9</v>
      </c>
      <c r="L774" s="8" t="s">
        <v>5</v>
      </c>
      <c r="M774" s="8">
        <v>2025</v>
      </c>
      <c r="N774" s="8">
        <v>12</v>
      </c>
    </row>
    <row r="775" spans="2:14" x14ac:dyDescent="0.25">
      <c r="B775" s="8"/>
      <c r="C775" s="8"/>
      <c r="D775" s="10">
        <v>45962</v>
      </c>
      <c r="E775" s="8"/>
      <c r="F775" s="8" t="s">
        <v>10</v>
      </c>
      <c r="G775" s="8"/>
      <c r="H775" s="8"/>
      <c r="I775" s="8"/>
      <c r="J775" s="8">
        <v>-3500</v>
      </c>
      <c r="K775" s="8" t="s">
        <v>9</v>
      </c>
      <c r="L775" s="8" t="s">
        <v>5</v>
      </c>
      <c r="M775" s="8">
        <v>2025</v>
      </c>
      <c r="N775" s="8">
        <v>11</v>
      </c>
    </row>
    <row r="776" spans="2:14" x14ac:dyDescent="0.25">
      <c r="B776" s="8"/>
      <c r="C776" s="8"/>
      <c r="D776" s="10">
        <v>45992</v>
      </c>
      <c r="E776" s="8"/>
      <c r="F776" s="8" t="s">
        <v>10</v>
      </c>
      <c r="G776" s="8"/>
      <c r="H776" s="8"/>
      <c r="I776" s="8"/>
      <c r="J776" s="8">
        <v>-2860</v>
      </c>
      <c r="K776" s="8" t="s">
        <v>9</v>
      </c>
      <c r="L776" s="8" t="s">
        <v>5</v>
      </c>
      <c r="M776" s="8">
        <v>2025</v>
      </c>
      <c r="N776" s="8">
        <v>12</v>
      </c>
    </row>
    <row r="777" spans="2:14" x14ac:dyDescent="0.25">
      <c r="B777" s="8"/>
      <c r="C777" s="8"/>
      <c r="D777" s="10">
        <v>45962</v>
      </c>
      <c r="E777" s="8"/>
      <c r="F777" s="8" t="s">
        <v>11</v>
      </c>
      <c r="G777" s="8"/>
      <c r="H777" s="8"/>
      <c r="I777" s="8"/>
      <c r="J777" s="8">
        <v>-7800</v>
      </c>
      <c r="K777" s="8" t="s">
        <v>9</v>
      </c>
      <c r="L777" s="8" t="s">
        <v>5</v>
      </c>
      <c r="M777" s="8">
        <v>2025</v>
      </c>
      <c r="N777" s="8">
        <v>11</v>
      </c>
    </row>
    <row r="778" spans="2:14" x14ac:dyDescent="0.25">
      <c r="B778" s="8"/>
      <c r="C778" s="8"/>
      <c r="D778" s="10">
        <v>45962</v>
      </c>
      <c r="E778" s="8"/>
      <c r="F778" s="8" t="s">
        <v>18</v>
      </c>
      <c r="G778" s="8"/>
      <c r="H778" s="8"/>
      <c r="I778" s="8"/>
      <c r="J778" s="8">
        <v>-149</v>
      </c>
      <c r="K778" s="8" t="s">
        <v>19</v>
      </c>
      <c r="L778" s="8" t="s">
        <v>5</v>
      </c>
      <c r="M778" s="8">
        <v>2025</v>
      </c>
      <c r="N778" s="8">
        <v>11</v>
      </c>
    </row>
    <row r="779" spans="2:14" x14ac:dyDescent="0.25">
      <c r="B779" s="8"/>
      <c r="C779" s="8"/>
      <c r="D779" s="10">
        <v>45992</v>
      </c>
      <c r="E779" s="8"/>
      <c r="F779" s="8" t="s">
        <v>18</v>
      </c>
      <c r="G779" s="8"/>
      <c r="H779" s="8"/>
      <c r="I779" s="8"/>
      <c r="J779" s="8">
        <v>-149</v>
      </c>
      <c r="K779" s="8" t="s">
        <v>19</v>
      </c>
      <c r="L779" s="8" t="s">
        <v>5</v>
      </c>
      <c r="M779" s="8">
        <v>2025</v>
      </c>
      <c r="N779" s="8">
        <v>12</v>
      </c>
    </row>
    <row r="780" spans="2:14" x14ac:dyDescent="0.25">
      <c r="B780" s="8"/>
      <c r="C780" s="8"/>
      <c r="D780" s="10">
        <v>45962</v>
      </c>
      <c r="E780" s="8"/>
      <c r="F780" s="8" t="s">
        <v>20</v>
      </c>
      <c r="G780" s="8"/>
      <c r="H780" s="8"/>
      <c r="I780" s="8"/>
      <c r="J780" s="8">
        <v>-589</v>
      </c>
      <c r="K780" s="8" t="s">
        <v>19</v>
      </c>
      <c r="L780" s="8" t="s">
        <v>5</v>
      </c>
      <c r="M780" s="8">
        <v>2025</v>
      </c>
      <c r="N780" s="8">
        <v>11</v>
      </c>
    </row>
    <row r="781" spans="2:14" x14ac:dyDescent="0.25">
      <c r="B781" s="8"/>
      <c r="C781" s="8"/>
      <c r="D781" s="10">
        <v>45992</v>
      </c>
      <c r="E781" s="8"/>
      <c r="F781" s="8" t="s">
        <v>20</v>
      </c>
      <c r="G781" s="8"/>
      <c r="H781" s="8"/>
      <c r="I781" s="8"/>
      <c r="J781" s="8">
        <v>-589</v>
      </c>
      <c r="K781" s="8" t="s">
        <v>19</v>
      </c>
      <c r="L781" s="8" t="s">
        <v>5</v>
      </c>
      <c r="M781" s="8">
        <v>2025</v>
      </c>
      <c r="N781" s="8">
        <v>12</v>
      </c>
    </row>
    <row r="782" spans="2:14" x14ac:dyDescent="0.25">
      <c r="B782" s="8"/>
      <c r="C782" s="8"/>
      <c r="D782" s="10">
        <v>45962</v>
      </c>
      <c r="E782" s="8"/>
      <c r="F782" s="8" t="s">
        <v>218</v>
      </c>
      <c r="G782" s="8"/>
      <c r="H782" s="8"/>
      <c r="I782" s="8"/>
      <c r="J782" s="8">
        <v>-1300</v>
      </c>
      <c r="K782" s="8" t="s">
        <v>19</v>
      </c>
      <c r="L782" s="8" t="s">
        <v>5</v>
      </c>
      <c r="M782" s="8">
        <v>2025</v>
      </c>
      <c r="N782" s="8">
        <v>11</v>
      </c>
    </row>
    <row r="783" spans="2:14" x14ac:dyDescent="0.25">
      <c r="B783" s="8"/>
      <c r="C783" s="8"/>
      <c r="D783" s="10">
        <v>45992</v>
      </c>
      <c r="E783" s="8"/>
      <c r="F783" s="8" t="s">
        <v>218</v>
      </c>
      <c r="G783" s="8"/>
      <c r="H783" s="8"/>
      <c r="I783" s="8"/>
      <c r="J783" s="8">
        <v>-1929</v>
      </c>
      <c r="K783" s="8" t="s">
        <v>19</v>
      </c>
      <c r="L783" s="8" t="s">
        <v>5</v>
      </c>
      <c r="M783" s="8">
        <v>2025</v>
      </c>
      <c r="N783" s="8">
        <v>12</v>
      </c>
    </row>
    <row r="784" spans="2:14" x14ac:dyDescent="0.25">
      <c r="B784" s="8"/>
      <c r="C784" s="8"/>
      <c r="D784" s="10">
        <v>45962</v>
      </c>
      <c r="E784" s="8"/>
      <c r="F784" s="8" t="s">
        <v>21</v>
      </c>
      <c r="G784" s="8"/>
      <c r="H784" s="8"/>
      <c r="I784" s="8"/>
      <c r="J784" s="8">
        <v>-5000</v>
      </c>
      <c r="K784" s="8" t="s">
        <v>22</v>
      </c>
      <c r="L784" s="8" t="s">
        <v>5</v>
      </c>
      <c r="M784" s="8">
        <v>2025</v>
      </c>
      <c r="N784" s="8">
        <v>11</v>
      </c>
    </row>
    <row r="785" spans="2:14" x14ac:dyDescent="0.25">
      <c r="B785" s="8"/>
      <c r="C785" s="8"/>
      <c r="D785" s="10">
        <v>45992</v>
      </c>
      <c r="E785" s="8"/>
      <c r="F785" s="8" t="s">
        <v>21</v>
      </c>
      <c r="G785" s="8"/>
      <c r="H785" s="8"/>
      <c r="I785" s="8"/>
      <c r="J785" s="8">
        <v>-7000</v>
      </c>
      <c r="K785" s="8" t="s">
        <v>22</v>
      </c>
      <c r="L785" s="8" t="s">
        <v>5</v>
      </c>
      <c r="M785" s="8">
        <v>2025</v>
      </c>
      <c r="N785" s="8">
        <v>12</v>
      </c>
    </row>
    <row r="786" spans="2:14" x14ac:dyDescent="0.25">
      <c r="B786" s="8"/>
      <c r="C786" s="8"/>
      <c r="D786" s="10">
        <v>45962</v>
      </c>
      <c r="E786" s="8"/>
      <c r="F786" s="8" t="s">
        <v>24</v>
      </c>
      <c r="G786" s="8"/>
      <c r="H786" s="8"/>
      <c r="I786" s="8"/>
      <c r="J786" s="8">
        <v>-1000</v>
      </c>
      <c r="K786" s="8" t="s">
        <v>22</v>
      </c>
      <c r="L786" s="8" t="s">
        <v>5</v>
      </c>
      <c r="M786" s="8">
        <v>2025</v>
      </c>
      <c r="N786" s="8">
        <v>11</v>
      </c>
    </row>
    <row r="787" spans="2:14" x14ac:dyDescent="0.25">
      <c r="B787" s="8"/>
      <c r="C787" s="8"/>
      <c r="D787" s="10">
        <v>45962</v>
      </c>
      <c r="E787" s="8"/>
      <c r="F787" s="8" t="s">
        <v>25</v>
      </c>
      <c r="G787" s="8"/>
      <c r="H787" s="8"/>
      <c r="I787" s="8"/>
      <c r="J787" s="8">
        <v>-3000</v>
      </c>
      <c r="K787" s="8" t="s">
        <v>22</v>
      </c>
      <c r="L787" s="8" t="s">
        <v>5</v>
      </c>
      <c r="M787" s="8">
        <v>2025</v>
      </c>
      <c r="N787" s="8">
        <v>11</v>
      </c>
    </row>
    <row r="788" spans="2:14" x14ac:dyDescent="0.25">
      <c r="B788" s="8"/>
      <c r="C788" s="8"/>
      <c r="D788" s="10">
        <v>45992</v>
      </c>
      <c r="E788" s="8"/>
      <c r="F788" s="8" t="s">
        <v>25</v>
      </c>
      <c r="G788" s="8"/>
      <c r="H788" s="8"/>
      <c r="I788" s="8"/>
      <c r="J788" s="8">
        <v>-3000</v>
      </c>
      <c r="K788" s="8" t="s">
        <v>22</v>
      </c>
      <c r="L788" s="8" t="s">
        <v>5</v>
      </c>
      <c r="M788" s="8">
        <v>2025</v>
      </c>
      <c r="N788" s="8">
        <v>12</v>
      </c>
    </row>
    <row r="789" spans="2:14" x14ac:dyDescent="0.25">
      <c r="B789" s="8"/>
      <c r="C789" s="8"/>
      <c r="D789" s="10">
        <v>45962</v>
      </c>
      <c r="E789" s="8"/>
      <c r="F789" s="8" t="s">
        <v>26</v>
      </c>
      <c r="G789" s="8"/>
      <c r="H789" s="8"/>
      <c r="I789" s="8"/>
      <c r="J789" s="8">
        <v>-300</v>
      </c>
      <c r="K789" s="8" t="s">
        <v>22</v>
      </c>
      <c r="L789" s="8" t="s">
        <v>5</v>
      </c>
      <c r="M789" s="8">
        <v>2025</v>
      </c>
      <c r="N789" s="8">
        <v>11</v>
      </c>
    </row>
    <row r="790" spans="2:14" x14ac:dyDescent="0.25">
      <c r="B790" s="8"/>
      <c r="C790" s="8"/>
      <c r="D790" s="10">
        <v>45992</v>
      </c>
      <c r="E790" s="8"/>
      <c r="F790" s="8" t="s">
        <v>26</v>
      </c>
      <c r="G790" s="8"/>
      <c r="H790" s="8"/>
      <c r="I790" s="8"/>
      <c r="J790" s="8">
        <v>-300</v>
      </c>
      <c r="K790" s="8" t="s">
        <v>22</v>
      </c>
      <c r="L790" s="8" t="s">
        <v>5</v>
      </c>
      <c r="M790" s="8">
        <v>2025</v>
      </c>
      <c r="N790" s="8">
        <v>12</v>
      </c>
    </row>
    <row r="791" spans="2:14" x14ac:dyDescent="0.25">
      <c r="B791" s="8"/>
      <c r="C791" s="8"/>
      <c r="D791" s="10">
        <v>45962</v>
      </c>
      <c r="E791" s="8"/>
      <c r="F791" s="8" t="s">
        <v>29</v>
      </c>
      <c r="G791" s="8"/>
      <c r="H791" s="8"/>
      <c r="I791" s="8"/>
      <c r="J791" s="8">
        <v>-500</v>
      </c>
      <c r="K791" s="8" t="s">
        <v>28</v>
      </c>
      <c r="L791" s="8" t="s">
        <v>5</v>
      </c>
      <c r="M791" s="8">
        <v>2025</v>
      </c>
      <c r="N791" s="8">
        <v>11</v>
      </c>
    </row>
    <row r="792" spans="2:14" x14ac:dyDescent="0.25">
      <c r="B792" s="8"/>
      <c r="C792" s="8"/>
      <c r="D792" s="10">
        <v>45992</v>
      </c>
      <c r="E792" s="8"/>
      <c r="F792" s="8" t="s">
        <v>29</v>
      </c>
      <c r="G792" s="8"/>
      <c r="H792" s="8"/>
      <c r="I792" s="8"/>
      <c r="J792" s="8">
        <v>-500</v>
      </c>
      <c r="K792" s="8" t="s">
        <v>28</v>
      </c>
      <c r="L792" s="8" t="s">
        <v>5</v>
      </c>
      <c r="M792" s="8">
        <v>2025</v>
      </c>
      <c r="N792" s="8">
        <v>12</v>
      </c>
    </row>
    <row r="793" spans="2:14" x14ac:dyDescent="0.25">
      <c r="B793" s="8"/>
      <c r="C793" s="8"/>
      <c r="D793" s="10">
        <v>45992</v>
      </c>
      <c r="E793" s="8"/>
      <c r="F793" s="8" t="s">
        <v>30</v>
      </c>
      <c r="G793" s="8"/>
      <c r="H793" s="8"/>
      <c r="I793" s="8"/>
      <c r="J793" s="8">
        <v>-4000</v>
      </c>
      <c r="K793" s="8" t="s">
        <v>28</v>
      </c>
      <c r="L793" s="8" t="s">
        <v>5</v>
      </c>
      <c r="M793" s="8">
        <v>2025</v>
      </c>
      <c r="N793" s="8">
        <v>12</v>
      </c>
    </row>
    <row r="794" spans="2:14" x14ac:dyDescent="0.25">
      <c r="B794" s="8"/>
      <c r="C794" s="8"/>
      <c r="D794" s="10">
        <v>45962</v>
      </c>
      <c r="E794" s="8"/>
      <c r="F794" s="8" t="s">
        <v>83</v>
      </c>
      <c r="G794" s="8"/>
      <c r="H794" s="8"/>
      <c r="I794" s="8"/>
      <c r="J794" s="8">
        <v>-11000</v>
      </c>
      <c r="K794" s="8" t="s">
        <v>38</v>
      </c>
      <c r="L794" s="8" t="s">
        <v>5</v>
      </c>
      <c r="M794" s="8">
        <v>2025</v>
      </c>
      <c r="N794" s="8">
        <v>11</v>
      </c>
    </row>
    <row r="795" spans="2:14" x14ac:dyDescent="0.25">
      <c r="B795" s="8"/>
      <c r="C795" s="8"/>
      <c r="D795" s="10">
        <v>45992</v>
      </c>
      <c r="E795" s="8"/>
      <c r="F795" s="8" t="s">
        <v>83</v>
      </c>
      <c r="G795" s="8"/>
      <c r="H795" s="8"/>
      <c r="I795" s="8"/>
      <c r="J795" s="8">
        <v>-25000</v>
      </c>
      <c r="K795" s="8" t="s">
        <v>38</v>
      </c>
      <c r="L795" s="8" t="s">
        <v>5</v>
      </c>
      <c r="M795" s="8">
        <v>2025</v>
      </c>
      <c r="N795" s="8">
        <v>12</v>
      </c>
    </row>
    <row r="796" spans="2:14" x14ac:dyDescent="0.25">
      <c r="B796" s="8"/>
      <c r="C796" s="8"/>
      <c r="D796" s="10">
        <v>45962</v>
      </c>
      <c r="E796" s="8"/>
      <c r="F796" s="8" t="s">
        <v>84</v>
      </c>
      <c r="G796" s="8"/>
      <c r="H796" s="8"/>
      <c r="I796" s="8"/>
      <c r="J796" s="8">
        <v>-5000</v>
      </c>
      <c r="K796" s="8" t="s">
        <v>38</v>
      </c>
      <c r="L796" s="8" t="s">
        <v>5</v>
      </c>
      <c r="M796" s="8">
        <v>2025</v>
      </c>
      <c r="N796" s="8">
        <v>11</v>
      </c>
    </row>
    <row r="797" spans="2:14" x14ac:dyDescent="0.25">
      <c r="B797" s="8"/>
      <c r="C797" s="8"/>
      <c r="D797" s="10">
        <v>45992</v>
      </c>
      <c r="E797" s="8"/>
      <c r="F797" s="8" t="s">
        <v>84</v>
      </c>
      <c r="G797" s="8"/>
      <c r="H797" s="8"/>
      <c r="I797" s="8"/>
      <c r="J797" s="8">
        <v>-5000</v>
      </c>
      <c r="K797" s="8" t="s">
        <v>38</v>
      </c>
      <c r="L797" s="8" t="s">
        <v>5</v>
      </c>
      <c r="M797" s="8">
        <v>2025</v>
      </c>
      <c r="N797" s="8">
        <v>12</v>
      </c>
    </row>
    <row r="798" spans="2:14" x14ac:dyDescent="0.25">
      <c r="B798" s="8"/>
      <c r="C798" s="8"/>
      <c r="D798" s="10">
        <v>45962</v>
      </c>
      <c r="E798" s="8"/>
      <c r="F798" s="8" t="s">
        <v>37</v>
      </c>
      <c r="G798" s="8"/>
      <c r="H798" s="8"/>
      <c r="I798" s="8"/>
      <c r="J798" s="8">
        <v>-22921</v>
      </c>
      <c r="K798" s="8" t="s">
        <v>38</v>
      </c>
      <c r="L798" s="8" t="s">
        <v>5</v>
      </c>
      <c r="M798" s="8">
        <v>2025</v>
      </c>
      <c r="N798" s="8">
        <v>11</v>
      </c>
    </row>
    <row r="799" spans="2:14" x14ac:dyDescent="0.25">
      <c r="B799" s="8"/>
      <c r="C799" s="8"/>
      <c r="D799" s="10">
        <v>45992</v>
      </c>
      <c r="E799" s="8"/>
      <c r="F799" s="8" t="s">
        <v>37</v>
      </c>
      <c r="G799" s="8"/>
      <c r="H799" s="8"/>
      <c r="I799" s="8"/>
      <c r="J799" s="8">
        <v>-14540</v>
      </c>
      <c r="K799" s="8" t="s">
        <v>38</v>
      </c>
      <c r="L799" s="8" t="s">
        <v>5</v>
      </c>
      <c r="M799" s="8">
        <v>2025</v>
      </c>
      <c r="N799" s="8">
        <v>12</v>
      </c>
    </row>
    <row r="800" spans="2:14" x14ac:dyDescent="0.25">
      <c r="B800" s="8"/>
      <c r="C800" s="8"/>
      <c r="D800" s="10">
        <v>45992</v>
      </c>
      <c r="E800" s="8"/>
      <c r="F800" s="8" t="s">
        <v>39</v>
      </c>
      <c r="G800" s="8"/>
      <c r="H800" s="8"/>
      <c r="I800" s="8"/>
      <c r="J800" s="8">
        <v>-7000</v>
      </c>
      <c r="K800" s="8" t="s">
        <v>38</v>
      </c>
      <c r="L800" s="8" t="s">
        <v>5</v>
      </c>
      <c r="M800" s="8">
        <v>2025</v>
      </c>
      <c r="N800" s="8">
        <v>12</v>
      </c>
    </row>
    <row r="801" spans="2:14" x14ac:dyDescent="0.25">
      <c r="B801" s="8"/>
      <c r="C801" s="8"/>
      <c r="D801" s="10">
        <v>45962</v>
      </c>
      <c r="E801" s="8"/>
      <c r="F801" s="8" t="s">
        <v>36</v>
      </c>
      <c r="G801" s="8"/>
      <c r="H801" s="8"/>
      <c r="I801" s="8"/>
      <c r="J801" s="8">
        <v>-63000</v>
      </c>
      <c r="K801" s="8" t="s">
        <v>34</v>
      </c>
      <c r="L801" s="8" t="s">
        <v>35</v>
      </c>
      <c r="M801" s="8">
        <v>2025</v>
      </c>
      <c r="N801" s="8">
        <v>11</v>
      </c>
    </row>
    <row r="802" spans="2:14" x14ac:dyDescent="0.25">
      <c r="B802" s="8"/>
      <c r="C802" s="8"/>
      <c r="D802" s="10">
        <v>45992</v>
      </c>
      <c r="E802" s="8"/>
      <c r="F802" s="8" t="s">
        <v>36</v>
      </c>
      <c r="G802" s="8"/>
      <c r="H802" s="8"/>
      <c r="I802" s="8"/>
      <c r="J802" s="8">
        <v>-20000</v>
      </c>
      <c r="K802" s="8" t="s">
        <v>34</v>
      </c>
      <c r="L802" s="8" t="s">
        <v>35</v>
      </c>
      <c r="M802" s="8">
        <v>2025</v>
      </c>
      <c r="N802" s="8">
        <v>12</v>
      </c>
    </row>
    <row r="803" spans="2:14" x14ac:dyDescent="0.25">
      <c r="B803" s="8"/>
      <c r="C803" s="8"/>
      <c r="D803" s="10">
        <v>45962</v>
      </c>
      <c r="E803" s="8"/>
      <c r="F803" s="8" t="s">
        <v>85</v>
      </c>
      <c r="G803" s="8"/>
      <c r="H803" s="8"/>
      <c r="I803" s="8"/>
      <c r="J803" s="8">
        <v>48200</v>
      </c>
      <c r="K803" s="8" t="s">
        <v>43</v>
      </c>
      <c r="L803" s="8" t="s">
        <v>44</v>
      </c>
      <c r="M803" s="8">
        <v>2025</v>
      </c>
      <c r="N803" s="8">
        <v>11</v>
      </c>
    </row>
    <row r="804" spans="2:14" x14ac:dyDescent="0.25">
      <c r="B804" s="8"/>
      <c r="C804" s="8"/>
      <c r="D804" s="10">
        <v>45992</v>
      </c>
      <c r="E804" s="8"/>
      <c r="F804" s="8" t="s">
        <v>85</v>
      </c>
      <c r="G804" s="8"/>
      <c r="H804" s="8"/>
      <c r="I804" s="8"/>
      <c r="J804" s="8">
        <v>48200</v>
      </c>
      <c r="K804" s="8" t="s">
        <v>43</v>
      </c>
      <c r="L804" s="8" t="s">
        <v>44</v>
      </c>
      <c r="M804" s="8">
        <v>2025</v>
      </c>
      <c r="N804" s="8">
        <v>12</v>
      </c>
    </row>
    <row r="805" spans="2:14" x14ac:dyDescent="0.25">
      <c r="B805" s="8"/>
      <c r="C805" s="8"/>
      <c r="D805" s="10">
        <v>45962</v>
      </c>
      <c r="E805" s="8"/>
      <c r="F805" s="8" t="s">
        <v>86</v>
      </c>
      <c r="G805" s="8"/>
      <c r="H805" s="8"/>
      <c r="I805" s="8"/>
      <c r="J805" s="8">
        <v>43700</v>
      </c>
      <c r="K805" s="8" t="s">
        <v>43</v>
      </c>
      <c r="L805" s="8" t="s">
        <v>44</v>
      </c>
      <c r="M805" s="8">
        <v>2025</v>
      </c>
      <c r="N805" s="8">
        <v>11</v>
      </c>
    </row>
    <row r="806" spans="2:14" x14ac:dyDescent="0.25">
      <c r="B806" s="8"/>
      <c r="C806" s="8"/>
      <c r="D806" s="10">
        <v>45992</v>
      </c>
      <c r="E806" s="8"/>
      <c r="F806" s="8" t="s">
        <v>86</v>
      </c>
      <c r="G806" s="8"/>
      <c r="H806" s="8"/>
      <c r="I806" s="8"/>
      <c r="J806" s="8">
        <v>43700</v>
      </c>
      <c r="K806" s="8" t="s">
        <v>43</v>
      </c>
      <c r="L806" s="8" t="s">
        <v>44</v>
      </c>
      <c r="M806" s="8">
        <v>2025</v>
      </c>
      <c r="N806" s="8">
        <v>12</v>
      </c>
    </row>
    <row r="807" spans="2:14" x14ac:dyDescent="0.25">
      <c r="B807" s="8"/>
      <c r="C807" s="8"/>
      <c r="D807" s="10">
        <v>45962</v>
      </c>
      <c r="E807" s="8"/>
      <c r="F807" s="8" t="s">
        <v>45</v>
      </c>
      <c r="G807" s="8"/>
      <c r="H807" s="8"/>
      <c r="I807" s="8"/>
      <c r="J807" s="8">
        <v>50000</v>
      </c>
      <c r="K807" s="8" t="s">
        <v>46</v>
      </c>
      <c r="L807" s="8" t="s">
        <v>44</v>
      </c>
      <c r="M807" s="8">
        <v>2025</v>
      </c>
      <c r="N807" s="8">
        <v>11</v>
      </c>
    </row>
    <row r="808" spans="2:14" x14ac:dyDescent="0.25">
      <c r="B808" s="8"/>
      <c r="C808" s="8"/>
      <c r="D808" s="10">
        <v>46023</v>
      </c>
      <c r="E808" s="8"/>
      <c r="F808" s="8" t="s">
        <v>3</v>
      </c>
      <c r="G808" s="8"/>
      <c r="H808" s="8"/>
      <c r="I808" s="8"/>
      <c r="J808" s="8">
        <v>-15500</v>
      </c>
      <c r="K808" s="8" t="s">
        <v>4</v>
      </c>
      <c r="L808" s="8" t="s">
        <v>5</v>
      </c>
      <c r="M808" s="8">
        <v>2026</v>
      </c>
      <c r="N808" s="8">
        <v>1</v>
      </c>
    </row>
    <row r="809" spans="2:14" x14ac:dyDescent="0.25">
      <c r="B809" s="8"/>
      <c r="C809" s="8"/>
      <c r="D809" s="10">
        <v>46054</v>
      </c>
      <c r="E809" s="8"/>
      <c r="F809" s="8" t="s">
        <v>3</v>
      </c>
      <c r="G809" s="8"/>
      <c r="H809" s="8"/>
      <c r="I809" s="8"/>
      <c r="J809" s="8">
        <v>-15500</v>
      </c>
      <c r="K809" s="8" t="s">
        <v>4</v>
      </c>
      <c r="L809" s="8" t="s">
        <v>5</v>
      </c>
      <c r="M809" s="8">
        <v>2026</v>
      </c>
      <c r="N809" s="8">
        <v>2</v>
      </c>
    </row>
    <row r="810" spans="2:14" x14ac:dyDescent="0.25">
      <c r="B810" s="8"/>
      <c r="C810" s="8"/>
      <c r="D810" s="10">
        <v>46082</v>
      </c>
      <c r="E810" s="8"/>
      <c r="F810" s="8" t="s">
        <v>3</v>
      </c>
      <c r="G810" s="8"/>
      <c r="H810" s="8"/>
      <c r="I810" s="8"/>
      <c r="J810" s="8">
        <v>-15500</v>
      </c>
      <c r="K810" s="8" t="s">
        <v>4</v>
      </c>
      <c r="L810" s="8" t="s">
        <v>5</v>
      </c>
      <c r="M810" s="8">
        <v>2026</v>
      </c>
      <c r="N810" s="8">
        <v>3</v>
      </c>
    </row>
    <row r="811" spans="2:14" x14ac:dyDescent="0.25">
      <c r="B811" s="8"/>
      <c r="C811" s="8"/>
      <c r="D811" s="10">
        <v>46113</v>
      </c>
      <c r="E811" s="8"/>
      <c r="F811" s="8" t="s">
        <v>3</v>
      </c>
      <c r="G811" s="8"/>
      <c r="H811" s="8"/>
      <c r="I811" s="8"/>
      <c r="J811" s="8">
        <v>-15500</v>
      </c>
      <c r="K811" s="8" t="s">
        <v>4</v>
      </c>
      <c r="L811" s="8" t="s">
        <v>5</v>
      </c>
      <c r="M811" s="8">
        <v>2026</v>
      </c>
      <c r="N811" s="8">
        <v>4</v>
      </c>
    </row>
    <row r="812" spans="2:14" x14ac:dyDescent="0.25">
      <c r="B812" s="8"/>
      <c r="C812" s="8"/>
      <c r="D812" s="10">
        <v>46143</v>
      </c>
      <c r="E812" s="8"/>
      <c r="F812" s="8" t="s">
        <v>3</v>
      </c>
      <c r="G812" s="8"/>
      <c r="H812" s="8"/>
      <c r="I812" s="8"/>
      <c r="J812" s="8">
        <v>-15500</v>
      </c>
      <c r="K812" s="8" t="s">
        <v>4</v>
      </c>
      <c r="L812" s="8" t="s">
        <v>5</v>
      </c>
      <c r="M812" s="8">
        <v>2026</v>
      </c>
      <c r="N812" s="8">
        <v>5</v>
      </c>
    </row>
    <row r="813" spans="2:14" x14ac:dyDescent="0.25">
      <c r="B813" s="8"/>
      <c r="C813" s="8"/>
      <c r="D813" s="10">
        <v>46174</v>
      </c>
      <c r="E813" s="8"/>
      <c r="F813" s="8" t="s">
        <v>3</v>
      </c>
      <c r="G813" s="8"/>
      <c r="H813" s="8"/>
      <c r="I813" s="8"/>
      <c r="J813" s="8">
        <v>16250</v>
      </c>
      <c r="K813" s="8" t="s">
        <v>4</v>
      </c>
      <c r="L813" s="8" t="s">
        <v>5</v>
      </c>
      <c r="M813" s="8">
        <v>2026</v>
      </c>
      <c r="N813" s="8">
        <v>6</v>
      </c>
    </row>
    <row r="814" spans="2:14" x14ac:dyDescent="0.25">
      <c r="B814" s="8"/>
      <c r="C814" s="8"/>
      <c r="D814" s="10">
        <v>46023</v>
      </c>
      <c r="E814" s="8"/>
      <c r="F814" s="8" t="s">
        <v>6</v>
      </c>
      <c r="G814" s="8"/>
      <c r="H814" s="8"/>
      <c r="I814" s="8"/>
      <c r="J814" s="8">
        <v>-800</v>
      </c>
      <c r="K814" s="8" t="s">
        <v>4</v>
      </c>
      <c r="L814" s="8" t="s">
        <v>5</v>
      </c>
      <c r="M814" s="8">
        <v>2026</v>
      </c>
      <c r="N814" s="8">
        <v>1</v>
      </c>
    </row>
    <row r="815" spans="2:14" x14ac:dyDescent="0.25">
      <c r="B815" s="8"/>
      <c r="C815" s="8"/>
      <c r="D815" s="10">
        <v>46054</v>
      </c>
      <c r="E815" s="8"/>
      <c r="F815" s="8" t="s">
        <v>6</v>
      </c>
      <c r="G815" s="8"/>
      <c r="H815" s="8"/>
      <c r="I815" s="8"/>
      <c r="J815" s="8">
        <v>-800</v>
      </c>
      <c r="K815" s="8" t="s">
        <v>4</v>
      </c>
      <c r="L815" s="8" t="s">
        <v>5</v>
      </c>
      <c r="M815" s="8">
        <v>2026</v>
      </c>
      <c r="N815" s="8">
        <v>2</v>
      </c>
    </row>
    <row r="816" spans="2:14" x14ac:dyDescent="0.25">
      <c r="B816" s="8"/>
      <c r="C816" s="8"/>
      <c r="D816" s="10">
        <v>46082</v>
      </c>
      <c r="E816" s="8"/>
      <c r="F816" s="8" t="s">
        <v>6</v>
      </c>
      <c r="G816" s="8"/>
      <c r="H816" s="8"/>
      <c r="I816" s="8"/>
      <c r="J816" s="8">
        <v>-800</v>
      </c>
      <c r="K816" s="8" t="s">
        <v>4</v>
      </c>
      <c r="L816" s="8" t="s">
        <v>5</v>
      </c>
      <c r="M816" s="8">
        <v>2026</v>
      </c>
      <c r="N816" s="8">
        <v>3</v>
      </c>
    </row>
    <row r="817" spans="2:14" x14ac:dyDescent="0.25">
      <c r="B817" s="8"/>
      <c r="C817" s="8"/>
      <c r="D817" s="10">
        <v>46113</v>
      </c>
      <c r="E817" s="8"/>
      <c r="F817" s="8" t="s">
        <v>6</v>
      </c>
      <c r="G817" s="8"/>
      <c r="H817" s="8"/>
      <c r="I817" s="8"/>
      <c r="J817" s="8">
        <v>-800</v>
      </c>
      <c r="K817" s="8" t="s">
        <v>4</v>
      </c>
      <c r="L817" s="8" t="s">
        <v>5</v>
      </c>
      <c r="M817" s="8">
        <v>2026</v>
      </c>
      <c r="N817" s="8">
        <v>4</v>
      </c>
    </row>
    <row r="818" spans="2:14" x14ac:dyDescent="0.25">
      <c r="B818" s="8"/>
      <c r="C818" s="8"/>
      <c r="D818" s="10">
        <v>46143</v>
      </c>
      <c r="E818" s="8"/>
      <c r="F818" s="8" t="s">
        <v>6</v>
      </c>
      <c r="G818" s="8"/>
      <c r="H818" s="8"/>
      <c r="I818" s="8"/>
      <c r="J818" s="8">
        <v>-800</v>
      </c>
      <c r="K818" s="8" t="s">
        <v>4</v>
      </c>
      <c r="L818" s="8" t="s">
        <v>5</v>
      </c>
      <c r="M818" s="8">
        <v>2026</v>
      </c>
      <c r="N818" s="8">
        <v>5</v>
      </c>
    </row>
    <row r="819" spans="2:14" x14ac:dyDescent="0.25">
      <c r="B819" s="8"/>
      <c r="C819" s="8"/>
      <c r="D819" s="10">
        <v>46174</v>
      </c>
      <c r="E819" s="8"/>
      <c r="F819" s="8" t="s">
        <v>6</v>
      </c>
      <c r="G819" s="8"/>
      <c r="H819" s="8"/>
      <c r="I819" s="8"/>
      <c r="J819" s="8">
        <v>-800</v>
      </c>
      <c r="K819" s="8" t="s">
        <v>4</v>
      </c>
      <c r="L819" s="8" t="s">
        <v>5</v>
      </c>
      <c r="M819" s="8">
        <v>2026</v>
      </c>
      <c r="N819" s="8">
        <v>6</v>
      </c>
    </row>
    <row r="820" spans="2:14" x14ac:dyDescent="0.25">
      <c r="B820" s="8"/>
      <c r="C820" s="8"/>
      <c r="D820" s="10">
        <v>46023</v>
      </c>
      <c r="E820" s="8"/>
      <c r="F820" s="8" t="s">
        <v>81</v>
      </c>
      <c r="G820" s="8"/>
      <c r="H820" s="8"/>
      <c r="I820" s="8"/>
      <c r="J820" s="8">
        <v>-250</v>
      </c>
      <c r="K820" s="8" t="s">
        <v>4</v>
      </c>
      <c r="L820" s="8" t="s">
        <v>5</v>
      </c>
      <c r="M820" s="8">
        <v>2026</v>
      </c>
      <c r="N820" s="8">
        <v>1</v>
      </c>
    </row>
    <row r="821" spans="2:14" x14ac:dyDescent="0.25">
      <c r="B821" s="8"/>
      <c r="C821" s="8"/>
      <c r="D821" s="10">
        <v>46054</v>
      </c>
      <c r="E821" s="8"/>
      <c r="F821" s="8" t="s">
        <v>81</v>
      </c>
      <c r="G821" s="8"/>
      <c r="H821" s="8"/>
      <c r="I821" s="8"/>
      <c r="J821" s="8">
        <v>-250</v>
      </c>
      <c r="K821" s="8" t="s">
        <v>4</v>
      </c>
      <c r="L821" s="8" t="s">
        <v>5</v>
      </c>
      <c r="M821" s="8">
        <v>2026</v>
      </c>
      <c r="N821" s="8">
        <v>2</v>
      </c>
    </row>
    <row r="822" spans="2:14" x14ac:dyDescent="0.25">
      <c r="B822" s="8"/>
      <c r="C822" s="8"/>
      <c r="D822" s="10">
        <v>46082</v>
      </c>
      <c r="E822" s="8"/>
      <c r="F822" s="8" t="s">
        <v>81</v>
      </c>
      <c r="G822" s="8"/>
      <c r="H822" s="8"/>
      <c r="I822" s="8"/>
      <c r="J822" s="8">
        <v>-250</v>
      </c>
      <c r="K822" s="8" t="s">
        <v>4</v>
      </c>
      <c r="L822" s="8" t="s">
        <v>5</v>
      </c>
      <c r="M822" s="8">
        <v>2026</v>
      </c>
      <c r="N822" s="8">
        <v>3</v>
      </c>
    </row>
    <row r="823" spans="2:14" x14ac:dyDescent="0.25">
      <c r="B823" s="8"/>
      <c r="C823" s="8"/>
      <c r="D823" s="10">
        <v>46113</v>
      </c>
      <c r="E823" s="8"/>
      <c r="F823" s="8" t="s">
        <v>81</v>
      </c>
      <c r="G823" s="8"/>
      <c r="H823" s="8"/>
      <c r="I823" s="8"/>
      <c r="J823" s="8">
        <v>-250</v>
      </c>
      <c r="K823" s="8" t="s">
        <v>4</v>
      </c>
      <c r="L823" s="8" t="s">
        <v>5</v>
      </c>
      <c r="M823" s="8">
        <v>2026</v>
      </c>
      <c r="N823" s="8">
        <v>4</v>
      </c>
    </row>
    <row r="824" spans="2:14" x14ac:dyDescent="0.25">
      <c r="B824" s="8"/>
      <c r="C824" s="8"/>
      <c r="D824" s="10">
        <v>46143</v>
      </c>
      <c r="E824" s="8"/>
      <c r="F824" s="8" t="s">
        <v>81</v>
      </c>
      <c r="G824" s="8"/>
      <c r="H824" s="8"/>
      <c r="I824" s="8"/>
      <c r="J824" s="8">
        <v>-250</v>
      </c>
      <c r="K824" s="8" t="s">
        <v>4</v>
      </c>
      <c r="L824" s="8" t="s">
        <v>5</v>
      </c>
      <c r="M824" s="8">
        <v>2026</v>
      </c>
      <c r="N824" s="8">
        <v>5</v>
      </c>
    </row>
    <row r="825" spans="2:14" x14ac:dyDescent="0.25">
      <c r="B825" s="8"/>
      <c r="C825" s="8"/>
      <c r="D825" s="10">
        <v>46174</v>
      </c>
      <c r="E825" s="8"/>
      <c r="F825" s="8" t="s">
        <v>81</v>
      </c>
      <c r="G825" s="8"/>
      <c r="H825" s="8"/>
      <c r="I825" s="8"/>
      <c r="J825" s="8">
        <v>-250</v>
      </c>
      <c r="K825" s="8" t="s">
        <v>4</v>
      </c>
      <c r="L825" s="8" t="s">
        <v>5</v>
      </c>
      <c r="M825" s="8">
        <v>2026</v>
      </c>
      <c r="N825" s="8">
        <v>6</v>
      </c>
    </row>
    <row r="826" spans="2:14" x14ac:dyDescent="0.25">
      <c r="B826" s="8"/>
      <c r="C826" s="8"/>
      <c r="D826" s="10">
        <v>46023</v>
      </c>
      <c r="E826" s="8"/>
      <c r="F826" s="8" t="s">
        <v>7</v>
      </c>
      <c r="G826" s="8"/>
      <c r="H826" s="8"/>
      <c r="I826" s="8"/>
      <c r="J826" s="8">
        <v>-2000</v>
      </c>
      <c r="K826" s="8" t="s">
        <v>4</v>
      </c>
      <c r="L826" s="8" t="s">
        <v>5</v>
      </c>
      <c r="M826" s="8">
        <v>2026</v>
      </c>
      <c r="N826" s="8">
        <v>1</v>
      </c>
    </row>
    <row r="827" spans="2:14" x14ac:dyDescent="0.25">
      <c r="B827" s="8"/>
      <c r="C827" s="8"/>
      <c r="D827" s="10">
        <v>46054</v>
      </c>
      <c r="E827" s="8"/>
      <c r="F827" s="8" t="s">
        <v>7</v>
      </c>
      <c r="G827" s="8"/>
      <c r="H827" s="8"/>
      <c r="I827" s="8"/>
      <c r="J827" s="8">
        <v>-1500</v>
      </c>
      <c r="K827" s="8" t="s">
        <v>4</v>
      </c>
      <c r="L827" s="8" t="s">
        <v>5</v>
      </c>
      <c r="M827" s="8">
        <v>2026</v>
      </c>
      <c r="N827" s="8">
        <v>2</v>
      </c>
    </row>
    <row r="828" spans="2:14" x14ac:dyDescent="0.25">
      <c r="B828" s="8"/>
      <c r="C828" s="8"/>
      <c r="D828" s="10">
        <v>46082</v>
      </c>
      <c r="E828" s="8"/>
      <c r="F828" s="8" t="s">
        <v>7</v>
      </c>
      <c r="G828" s="8"/>
      <c r="H828" s="8"/>
      <c r="I828" s="8"/>
      <c r="J828" s="8">
        <v>-1500</v>
      </c>
      <c r="K828" s="8" t="s">
        <v>4</v>
      </c>
      <c r="L828" s="8" t="s">
        <v>5</v>
      </c>
      <c r="M828" s="8">
        <v>2026</v>
      </c>
      <c r="N828" s="8">
        <v>3</v>
      </c>
    </row>
    <row r="829" spans="2:14" x14ac:dyDescent="0.25">
      <c r="B829" s="8"/>
      <c r="C829" s="8"/>
      <c r="D829" s="10">
        <v>46113</v>
      </c>
      <c r="E829" s="8"/>
      <c r="F829" s="8" t="s">
        <v>7</v>
      </c>
      <c r="G829" s="8"/>
      <c r="H829" s="8"/>
      <c r="I829" s="8"/>
      <c r="J829" s="8">
        <v>-1000</v>
      </c>
      <c r="K829" s="8" t="s">
        <v>4</v>
      </c>
      <c r="L829" s="8" t="s">
        <v>5</v>
      </c>
      <c r="M829" s="8">
        <v>2026</v>
      </c>
      <c r="N829" s="8">
        <v>4</v>
      </c>
    </row>
    <row r="830" spans="2:14" x14ac:dyDescent="0.25">
      <c r="B830" s="8"/>
      <c r="C830" s="8"/>
      <c r="D830" s="10">
        <v>46143</v>
      </c>
      <c r="E830" s="8"/>
      <c r="F830" s="8" t="s">
        <v>7</v>
      </c>
      <c r="G830" s="8"/>
      <c r="H830" s="8"/>
      <c r="I830" s="8"/>
      <c r="J830" s="8">
        <v>-1500</v>
      </c>
      <c r="K830" s="8" t="s">
        <v>4</v>
      </c>
      <c r="L830" s="8" t="s">
        <v>5</v>
      </c>
      <c r="M830" s="8">
        <v>2026</v>
      </c>
      <c r="N830" s="8">
        <v>5</v>
      </c>
    </row>
    <row r="831" spans="2:14" x14ac:dyDescent="0.25">
      <c r="B831" s="8"/>
      <c r="C831" s="8"/>
      <c r="D831" s="10">
        <v>46174</v>
      </c>
      <c r="E831" s="8"/>
      <c r="F831" s="8" t="s">
        <v>7</v>
      </c>
      <c r="G831" s="8"/>
      <c r="H831" s="8"/>
      <c r="I831" s="8"/>
      <c r="J831" s="8">
        <v>-1000</v>
      </c>
      <c r="K831" s="8" t="s">
        <v>4</v>
      </c>
      <c r="L831" s="8" t="s">
        <v>5</v>
      </c>
      <c r="M831" s="8">
        <v>2026</v>
      </c>
      <c r="N831" s="8">
        <v>6</v>
      </c>
    </row>
    <row r="832" spans="2:14" x14ac:dyDescent="0.25">
      <c r="B832" s="8"/>
      <c r="C832" s="8"/>
      <c r="D832" s="10">
        <v>46023</v>
      </c>
      <c r="E832" s="8"/>
      <c r="F832" s="8" t="s">
        <v>8</v>
      </c>
      <c r="G832" s="8"/>
      <c r="H832" s="8"/>
      <c r="I832" s="8"/>
      <c r="J832" s="8">
        <v>-1200</v>
      </c>
      <c r="K832" s="8" t="s">
        <v>9</v>
      </c>
      <c r="L832" s="8" t="s">
        <v>5</v>
      </c>
      <c r="M832" s="8">
        <v>2026</v>
      </c>
      <c r="N832" s="8">
        <v>1</v>
      </c>
    </row>
    <row r="833" spans="2:14" x14ac:dyDescent="0.25">
      <c r="B833" s="8"/>
      <c r="C833" s="8"/>
      <c r="D833" s="10">
        <v>46054</v>
      </c>
      <c r="E833" s="8"/>
      <c r="F833" s="8" t="s">
        <v>8</v>
      </c>
      <c r="G833" s="8"/>
      <c r="H833" s="8"/>
      <c r="I833" s="8"/>
      <c r="J833" s="8">
        <v>-600</v>
      </c>
      <c r="K833" s="8" t="s">
        <v>9</v>
      </c>
      <c r="L833" s="8" t="s">
        <v>5</v>
      </c>
      <c r="M833" s="8">
        <v>2026</v>
      </c>
      <c r="N833" s="8">
        <v>2</v>
      </c>
    </row>
    <row r="834" spans="2:14" x14ac:dyDescent="0.25">
      <c r="B834" s="8"/>
      <c r="C834" s="8"/>
      <c r="D834" s="10">
        <v>46082</v>
      </c>
      <c r="E834" s="8"/>
      <c r="F834" s="8" t="s">
        <v>8</v>
      </c>
      <c r="G834" s="8"/>
      <c r="H834" s="8"/>
      <c r="I834" s="8"/>
      <c r="J834" s="8">
        <v>-600</v>
      </c>
      <c r="K834" s="8" t="s">
        <v>9</v>
      </c>
      <c r="L834" s="8" t="s">
        <v>5</v>
      </c>
      <c r="M834" s="8">
        <v>2026</v>
      </c>
      <c r="N834" s="8">
        <v>3</v>
      </c>
    </row>
    <row r="835" spans="2:14" x14ac:dyDescent="0.25">
      <c r="B835" s="8"/>
      <c r="C835" s="8"/>
      <c r="D835" s="10">
        <v>46113</v>
      </c>
      <c r="E835" s="8"/>
      <c r="F835" s="8" t="s">
        <v>8</v>
      </c>
      <c r="G835" s="8"/>
      <c r="H835" s="8"/>
      <c r="I835" s="8"/>
      <c r="J835" s="8">
        <v>-600</v>
      </c>
      <c r="K835" s="8" t="s">
        <v>9</v>
      </c>
      <c r="L835" s="8" t="s">
        <v>5</v>
      </c>
      <c r="M835" s="8">
        <v>2026</v>
      </c>
      <c r="N835" s="8">
        <v>4</v>
      </c>
    </row>
    <row r="836" spans="2:14" x14ac:dyDescent="0.25">
      <c r="B836" s="8"/>
      <c r="C836" s="8"/>
      <c r="D836" s="10">
        <v>46143</v>
      </c>
      <c r="E836" s="8"/>
      <c r="F836" s="8" t="s">
        <v>8</v>
      </c>
      <c r="G836" s="8"/>
      <c r="H836" s="8"/>
      <c r="I836" s="8"/>
      <c r="J836" s="8">
        <v>-600</v>
      </c>
      <c r="K836" s="8" t="s">
        <v>9</v>
      </c>
      <c r="L836" s="8" t="s">
        <v>5</v>
      </c>
      <c r="M836" s="8">
        <v>2026</v>
      </c>
      <c r="N836" s="8">
        <v>5</v>
      </c>
    </row>
    <row r="837" spans="2:14" x14ac:dyDescent="0.25">
      <c r="B837" s="8"/>
      <c r="C837" s="8"/>
      <c r="D837" s="10">
        <v>46174</v>
      </c>
      <c r="E837" s="8"/>
      <c r="F837" s="8" t="s">
        <v>8</v>
      </c>
      <c r="G837" s="8"/>
      <c r="H837" s="8"/>
      <c r="I837" s="8"/>
      <c r="J837" s="8">
        <v>-600</v>
      </c>
      <c r="K837" s="8" t="s">
        <v>9</v>
      </c>
      <c r="L837" s="8" t="s">
        <v>5</v>
      </c>
      <c r="M837" s="8">
        <v>2026</v>
      </c>
      <c r="N837" s="8">
        <v>6</v>
      </c>
    </row>
    <row r="838" spans="2:14" x14ac:dyDescent="0.25">
      <c r="B838" s="8"/>
      <c r="C838" s="8"/>
      <c r="D838" s="10">
        <v>46023</v>
      </c>
      <c r="E838" s="8"/>
      <c r="F838" s="8" t="s">
        <v>10</v>
      </c>
      <c r="G838" s="8"/>
      <c r="H838" s="8"/>
      <c r="I838" s="8"/>
      <c r="J838" s="8">
        <v>-5800</v>
      </c>
      <c r="K838" s="8" t="s">
        <v>9</v>
      </c>
      <c r="L838" s="8" t="s">
        <v>5</v>
      </c>
      <c r="M838" s="8">
        <v>2026</v>
      </c>
      <c r="N838" s="8">
        <v>1</v>
      </c>
    </row>
    <row r="839" spans="2:14" x14ac:dyDescent="0.25">
      <c r="B839" s="8"/>
      <c r="C839" s="8"/>
      <c r="D839" s="10">
        <v>46054</v>
      </c>
      <c r="E839" s="8"/>
      <c r="F839" s="8" t="s">
        <v>10</v>
      </c>
      <c r="G839" s="8"/>
      <c r="H839" s="8"/>
      <c r="I839" s="8"/>
      <c r="J839" s="8">
        <v>-3000</v>
      </c>
      <c r="K839" s="8" t="s">
        <v>9</v>
      </c>
      <c r="L839" s="8" t="s">
        <v>5</v>
      </c>
      <c r="M839" s="8">
        <v>2026</v>
      </c>
      <c r="N839" s="8">
        <v>2</v>
      </c>
    </row>
    <row r="840" spans="2:14" x14ac:dyDescent="0.25">
      <c r="B840" s="8"/>
      <c r="C840" s="8"/>
      <c r="D840" s="10">
        <v>46082</v>
      </c>
      <c r="E840" s="8"/>
      <c r="F840" s="8" t="s">
        <v>10</v>
      </c>
      <c r="G840" s="8"/>
      <c r="H840" s="8"/>
      <c r="I840" s="8"/>
      <c r="J840" s="8">
        <v>-6000</v>
      </c>
      <c r="K840" s="8" t="s">
        <v>9</v>
      </c>
      <c r="L840" s="8" t="s">
        <v>5</v>
      </c>
      <c r="M840" s="8">
        <v>2026</v>
      </c>
      <c r="N840" s="8">
        <v>3</v>
      </c>
    </row>
    <row r="841" spans="2:14" x14ac:dyDescent="0.25">
      <c r="B841" s="8"/>
      <c r="C841" s="8"/>
      <c r="D841" s="10">
        <v>46113</v>
      </c>
      <c r="E841" s="8"/>
      <c r="F841" s="8" t="s">
        <v>10</v>
      </c>
      <c r="G841" s="8"/>
      <c r="H841" s="8"/>
      <c r="I841" s="8"/>
      <c r="J841" s="8">
        <v>-4380</v>
      </c>
      <c r="K841" s="8" t="s">
        <v>9</v>
      </c>
      <c r="L841" s="8" t="s">
        <v>5</v>
      </c>
      <c r="M841" s="8">
        <v>2026</v>
      </c>
      <c r="N841" s="8">
        <v>4</v>
      </c>
    </row>
    <row r="842" spans="2:14" x14ac:dyDescent="0.25">
      <c r="B842" s="8"/>
      <c r="C842" s="8"/>
      <c r="D842" s="10">
        <v>46143</v>
      </c>
      <c r="E842" s="8"/>
      <c r="F842" s="8" t="s">
        <v>10</v>
      </c>
      <c r="G842" s="8"/>
      <c r="H842" s="8"/>
      <c r="I842" s="8"/>
      <c r="J842" s="8">
        <v>-10000</v>
      </c>
      <c r="K842" s="8" t="s">
        <v>9</v>
      </c>
      <c r="L842" s="8" t="s">
        <v>5</v>
      </c>
      <c r="M842" s="8">
        <v>2026</v>
      </c>
      <c r="N842" s="8">
        <v>5</v>
      </c>
    </row>
    <row r="843" spans="2:14" x14ac:dyDescent="0.25">
      <c r="B843" s="8"/>
      <c r="C843" s="8"/>
      <c r="D843" s="10">
        <v>46174</v>
      </c>
      <c r="E843" s="8"/>
      <c r="F843" s="8" t="s">
        <v>10</v>
      </c>
      <c r="G843" s="8"/>
      <c r="H843" s="8"/>
      <c r="I843" s="8"/>
      <c r="J843" s="8">
        <v>-2000</v>
      </c>
      <c r="K843" s="8" t="s">
        <v>9</v>
      </c>
      <c r="L843" s="8" t="s">
        <v>5</v>
      </c>
      <c r="M843" s="8">
        <v>2026</v>
      </c>
      <c r="N843" s="8">
        <v>6</v>
      </c>
    </row>
    <row r="844" spans="2:14" x14ac:dyDescent="0.25">
      <c r="B844" s="8"/>
      <c r="C844" s="8"/>
      <c r="D844" s="10">
        <v>46054</v>
      </c>
      <c r="E844" s="8"/>
      <c r="F844" s="8" t="s">
        <v>11</v>
      </c>
      <c r="G844" s="8"/>
      <c r="H844" s="8"/>
      <c r="I844" s="8"/>
      <c r="J844" s="8">
        <v>-200</v>
      </c>
      <c r="K844" s="8" t="s">
        <v>9</v>
      </c>
      <c r="L844" s="8" t="s">
        <v>5</v>
      </c>
      <c r="M844" s="8">
        <v>2026</v>
      </c>
      <c r="N844" s="8">
        <v>2</v>
      </c>
    </row>
    <row r="845" spans="2:14" x14ac:dyDescent="0.25">
      <c r="B845" s="8"/>
      <c r="C845" s="8"/>
      <c r="D845" s="10">
        <v>46082</v>
      </c>
      <c r="E845" s="8"/>
      <c r="F845" s="8" t="s">
        <v>11</v>
      </c>
      <c r="G845" s="8"/>
      <c r="H845" s="8"/>
      <c r="I845" s="8"/>
      <c r="J845" s="8">
        <v>-200</v>
      </c>
      <c r="K845" s="8" t="s">
        <v>9</v>
      </c>
      <c r="L845" s="8" t="s">
        <v>5</v>
      </c>
      <c r="M845" s="8">
        <v>2026</v>
      </c>
      <c r="N845" s="8">
        <v>3</v>
      </c>
    </row>
    <row r="846" spans="2:14" x14ac:dyDescent="0.25">
      <c r="B846" s="8"/>
      <c r="C846" s="8"/>
      <c r="D846" s="10">
        <v>46113</v>
      </c>
      <c r="E846" s="8"/>
      <c r="F846" s="8" t="s">
        <v>11</v>
      </c>
      <c r="G846" s="8"/>
      <c r="H846" s="8"/>
      <c r="I846" s="8"/>
      <c r="J846" s="8">
        <v>-200</v>
      </c>
      <c r="K846" s="8" t="s">
        <v>9</v>
      </c>
      <c r="L846" s="8" t="s">
        <v>5</v>
      </c>
      <c r="M846" s="8">
        <v>2026</v>
      </c>
      <c r="N846" s="8">
        <v>4</v>
      </c>
    </row>
    <row r="847" spans="2:14" x14ac:dyDescent="0.25">
      <c r="B847" s="8"/>
      <c r="C847" s="8"/>
      <c r="D847" s="10">
        <v>46143</v>
      </c>
      <c r="E847" s="8"/>
      <c r="F847" s="8" t="s">
        <v>11</v>
      </c>
      <c r="G847" s="8"/>
      <c r="H847" s="8"/>
      <c r="I847" s="8"/>
      <c r="J847" s="8">
        <v>-3700</v>
      </c>
      <c r="K847" s="8" t="s">
        <v>9</v>
      </c>
      <c r="L847" s="8" t="s">
        <v>5</v>
      </c>
      <c r="M847" s="8">
        <v>2026</v>
      </c>
      <c r="N847" s="8">
        <v>5</v>
      </c>
    </row>
    <row r="848" spans="2:14" x14ac:dyDescent="0.25">
      <c r="B848" s="8"/>
      <c r="C848" s="8"/>
      <c r="D848" s="10">
        <v>46174</v>
      </c>
      <c r="E848" s="8"/>
      <c r="F848" s="8" t="s">
        <v>11</v>
      </c>
      <c r="G848" s="8"/>
      <c r="H848" s="8"/>
      <c r="I848" s="8"/>
      <c r="J848" s="8">
        <v>-200</v>
      </c>
      <c r="K848" s="8" t="s">
        <v>9</v>
      </c>
      <c r="L848" s="8" t="s">
        <v>5</v>
      </c>
      <c r="M848" s="8">
        <v>2026</v>
      </c>
      <c r="N848" s="8">
        <v>6</v>
      </c>
    </row>
    <row r="849" spans="2:14" x14ac:dyDescent="0.25">
      <c r="B849" s="8"/>
      <c r="C849" s="8"/>
      <c r="D849" s="10">
        <v>46143</v>
      </c>
      <c r="E849" s="8"/>
      <c r="F849" s="8" t="s">
        <v>12</v>
      </c>
      <c r="G849" s="8"/>
      <c r="H849" s="8"/>
      <c r="I849" s="8"/>
      <c r="J849" s="8">
        <v>-3000</v>
      </c>
      <c r="K849" s="8" t="s">
        <v>13</v>
      </c>
      <c r="L849" s="8" t="s">
        <v>5</v>
      </c>
      <c r="M849" s="8">
        <v>2026</v>
      </c>
      <c r="N849" s="8">
        <v>5</v>
      </c>
    </row>
    <row r="850" spans="2:14" x14ac:dyDescent="0.25">
      <c r="B850" s="8"/>
      <c r="C850" s="8"/>
      <c r="D850" s="10">
        <v>46174</v>
      </c>
      <c r="E850" s="8"/>
      <c r="F850" s="8" t="s">
        <v>12</v>
      </c>
      <c r="G850" s="8"/>
      <c r="H850" s="8"/>
      <c r="I850" s="8"/>
      <c r="J850" s="8">
        <v>-2000</v>
      </c>
      <c r="K850" s="8" t="s">
        <v>13</v>
      </c>
      <c r="L850" s="8" t="s">
        <v>5</v>
      </c>
      <c r="M850" s="8">
        <v>2026</v>
      </c>
      <c r="N850" s="8">
        <v>6</v>
      </c>
    </row>
    <row r="851" spans="2:14" x14ac:dyDescent="0.25">
      <c r="B851" s="8"/>
      <c r="C851" s="8"/>
      <c r="D851" s="10">
        <v>46113</v>
      </c>
      <c r="E851" s="8"/>
      <c r="F851" s="8" t="s">
        <v>14</v>
      </c>
      <c r="G851" s="8"/>
      <c r="H851" s="8"/>
      <c r="I851" s="8"/>
      <c r="J851" s="8">
        <v>-329</v>
      </c>
      <c r="K851" s="8" t="s">
        <v>13</v>
      </c>
      <c r="L851" s="8" t="s">
        <v>5</v>
      </c>
      <c r="M851" s="8">
        <v>2026</v>
      </c>
      <c r="N851" s="8">
        <v>4</v>
      </c>
    </row>
    <row r="852" spans="2:14" x14ac:dyDescent="0.25">
      <c r="B852" s="8"/>
      <c r="C852" s="8"/>
      <c r="D852" s="10">
        <v>46054</v>
      </c>
      <c r="E852" s="8"/>
      <c r="F852" s="8" t="s">
        <v>15</v>
      </c>
      <c r="G852" s="8"/>
      <c r="H852" s="8"/>
      <c r="I852" s="8"/>
      <c r="J852" s="8">
        <v>-500</v>
      </c>
      <c r="K852" s="8" t="s">
        <v>16</v>
      </c>
      <c r="L852" s="8" t="s">
        <v>5</v>
      </c>
      <c r="M852" s="8">
        <v>2026</v>
      </c>
      <c r="N852" s="8">
        <v>2</v>
      </c>
    </row>
    <row r="853" spans="2:14" x14ac:dyDescent="0.25">
      <c r="B853" s="8"/>
      <c r="C853" s="8"/>
      <c r="D853" s="10">
        <v>46082</v>
      </c>
      <c r="E853" s="8"/>
      <c r="F853" s="8" t="s">
        <v>15</v>
      </c>
      <c r="G853" s="8"/>
      <c r="H853" s="8"/>
      <c r="I853" s="8"/>
      <c r="J853" s="8">
        <v>-1000</v>
      </c>
      <c r="K853" s="8" t="s">
        <v>16</v>
      </c>
      <c r="L853" s="8" t="s">
        <v>5</v>
      </c>
      <c r="M853" s="8">
        <v>2026</v>
      </c>
      <c r="N853" s="8">
        <v>3</v>
      </c>
    </row>
    <row r="854" spans="2:14" x14ac:dyDescent="0.25">
      <c r="B854" s="8"/>
      <c r="C854" s="8"/>
      <c r="D854" s="10">
        <v>46113</v>
      </c>
      <c r="E854" s="8"/>
      <c r="F854" s="8" t="s">
        <v>15</v>
      </c>
      <c r="G854" s="8"/>
      <c r="H854" s="8"/>
      <c r="I854" s="8"/>
      <c r="J854" s="8">
        <v>-2760</v>
      </c>
      <c r="K854" s="8" t="s">
        <v>16</v>
      </c>
      <c r="L854" s="8" t="s">
        <v>5</v>
      </c>
      <c r="M854" s="8">
        <v>2026</v>
      </c>
      <c r="N854" s="8">
        <v>4</v>
      </c>
    </row>
    <row r="855" spans="2:14" x14ac:dyDescent="0.25">
      <c r="B855" s="8"/>
      <c r="C855" s="8"/>
      <c r="D855" s="10">
        <v>46023</v>
      </c>
      <c r="E855" s="8"/>
      <c r="F855" s="8" t="s">
        <v>18</v>
      </c>
      <c r="G855" s="8"/>
      <c r="H855" s="8"/>
      <c r="I855" s="8"/>
      <c r="J855" s="8">
        <v>-149</v>
      </c>
      <c r="K855" s="8" t="s">
        <v>19</v>
      </c>
      <c r="L855" s="8" t="s">
        <v>5</v>
      </c>
      <c r="M855" s="8">
        <v>2026</v>
      </c>
      <c r="N855" s="8">
        <v>1</v>
      </c>
    </row>
    <row r="856" spans="2:14" x14ac:dyDescent="0.25">
      <c r="B856" s="8"/>
      <c r="C856" s="8"/>
      <c r="D856" s="10">
        <v>46054</v>
      </c>
      <c r="E856" s="8"/>
      <c r="F856" s="8" t="s">
        <v>18</v>
      </c>
      <c r="G856" s="8"/>
      <c r="H856" s="8"/>
      <c r="I856" s="8"/>
      <c r="J856" s="8">
        <v>-149</v>
      </c>
      <c r="K856" s="8" t="s">
        <v>19</v>
      </c>
      <c r="L856" s="8" t="s">
        <v>5</v>
      </c>
      <c r="M856" s="8">
        <v>2026</v>
      </c>
      <c r="N856" s="8">
        <v>2</v>
      </c>
    </row>
    <row r="857" spans="2:14" x14ac:dyDescent="0.25">
      <c r="B857" s="8"/>
      <c r="C857" s="8"/>
      <c r="D857" s="10">
        <v>46082</v>
      </c>
      <c r="E857" s="8"/>
      <c r="F857" s="8" t="s">
        <v>18</v>
      </c>
      <c r="G857" s="8"/>
      <c r="H857" s="8"/>
      <c r="I857" s="8"/>
      <c r="J857" s="8">
        <v>-149</v>
      </c>
      <c r="K857" s="8" t="s">
        <v>19</v>
      </c>
      <c r="L857" s="8" t="s">
        <v>5</v>
      </c>
      <c r="M857" s="8">
        <v>2026</v>
      </c>
      <c r="N857" s="8">
        <v>3</v>
      </c>
    </row>
    <row r="858" spans="2:14" x14ac:dyDescent="0.25">
      <c r="B858" s="8"/>
      <c r="C858" s="8"/>
      <c r="D858" s="10">
        <v>46113</v>
      </c>
      <c r="E858" s="8"/>
      <c r="F858" s="8" t="s">
        <v>18</v>
      </c>
      <c r="G858" s="8"/>
      <c r="H858" s="8"/>
      <c r="I858" s="8"/>
      <c r="J858" s="8">
        <v>-149</v>
      </c>
      <c r="K858" s="8" t="s">
        <v>19</v>
      </c>
      <c r="L858" s="8" t="s">
        <v>5</v>
      </c>
      <c r="M858" s="8">
        <v>2026</v>
      </c>
      <c r="N858" s="8">
        <v>4</v>
      </c>
    </row>
    <row r="859" spans="2:14" x14ac:dyDescent="0.25">
      <c r="B859" s="8"/>
      <c r="C859" s="8"/>
      <c r="D859" s="10">
        <v>46143</v>
      </c>
      <c r="E859" s="8"/>
      <c r="F859" s="8" t="s">
        <v>18</v>
      </c>
      <c r="G859" s="8"/>
      <c r="H859" s="8"/>
      <c r="I859" s="8"/>
      <c r="J859" s="8">
        <v>-299</v>
      </c>
      <c r="K859" s="8" t="s">
        <v>19</v>
      </c>
      <c r="L859" s="8" t="s">
        <v>5</v>
      </c>
      <c r="M859" s="8">
        <v>2026</v>
      </c>
      <c r="N859" s="8">
        <v>5</v>
      </c>
    </row>
    <row r="860" spans="2:14" x14ac:dyDescent="0.25">
      <c r="B860" s="8"/>
      <c r="C860" s="8"/>
      <c r="D860" s="10">
        <v>46174</v>
      </c>
      <c r="E860" s="8"/>
      <c r="F860" s="8" t="s">
        <v>18</v>
      </c>
      <c r="G860" s="8"/>
      <c r="H860" s="8"/>
      <c r="I860" s="8"/>
      <c r="J860" s="8">
        <v>-299</v>
      </c>
      <c r="K860" s="8" t="s">
        <v>19</v>
      </c>
      <c r="L860" s="8" t="s">
        <v>5</v>
      </c>
      <c r="M860" s="8">
        <v>2026</v>
      </c>
      <c r="N860" s="8">
        <v>6</v>
      </c>
    </row>
    <row r="861" spans="2:14" x14ac:dyDescent="0.25">
      <c r="B861" s="8"/>
      <c r="C861" s="8"/>
      <c r="D861" s="10">
        <v>46054</v>
      </c>
      <c r="E861" s="8"/>
      <c r="F861" s="8" t="s">
        <v>20</v>
      </c>
      <c r="G861" s="8"/>
      <c r="H861" s="8"/>
      <c r="I861" s="8"/>
      <c r="J861" s="8">
        <v>-602</v>
      </c>
      <c r="K861" s="8" t="s">
        <v>19</v>
      </c>
      <c r="L861" s="8" t="s">
        <v>5</v>
      </c>
      <c r="M861" s="8">
        <v>2026</v>
      </c>
      <c r="N861" s="8">
        <v>2</v>
      </c>
    </row>
    <row r="862" spans="2:14" x14ac:dyDescent="0.25">
      <c r="B862" s="8"/>
      <c r="C862" s="8"/>
      <c r="D862" s="10">
        <v>46023</v>
      </c>
      <c r="E862" s="8"/>
      <c r="F862" s="8" t="s">
        <v>218</v>
      </c>
      <c r="G862" s="8"/>
      <c r="H862" s="8"/>
      <c r="I862" s="8"/>
      <c r="J862" s="8">
        <v>-1500</v>
      </c>
      <c r="K862" s="8" t="s">
        <v>19</v>
      </c>
      <c r="L862" s="8" t="s">
        <v>5</v>
      </c>
      <c r="M862" s="8">
        <v>2026</v>
      </c>
      <c r="N862" s="8">
        <v>1</v>
      </c>
    </row>
    <row r="863" spans="2:14" x14ac:dyDescent="0.25">
      <c r="B863" s="8"/>
      <c r="C863" s="8"/>
      <c r="D863" s="10">
        <v>46054</v>
      </c>
      <c r="E863" s="8"/>
      <c r="F863" s="8" t="s">
        <v>218</v>
      </c>
      <c r="G863" s="8"/>
      <c r="H863" s="8"/>
      <c r="I863" s="8"/>
      <c r="J863" s="8">
        <v>-2565</v>
      </c>
      <c r="K863" s="8" t="s">
        <v>19</v>
      </c>
      <c r="L863" s="8" t="s">
        <v>5</v>
      </c>
      <c r="M863" s="8">
        <v>2026</v>
      </c>
      <c r="N863" s="8">
        <v>2</v>
      </c>
    </row>
    <row r="864" spans="2:14" x14ac:dyDescent="0.25">
      <c r="B864" s="8"/>
      <c r="C864" s="8"/>
      <c r="D864" s="10">
        <v>46082</v>
      </c>
      <c r="E864" s="8"/>
      <c r="F864" s="8" t="s">
        <v>218</v>
      </c>
      <c r="G864" s="8"/>
      <c r="H864" s="8"/>
      <c r="I864" s="8"/>
      <c r="J864" s="8">
        <v>-1960</v>
      </c>
      <c r="K864" s="8" t="s">
        <v>19</v>
      </c>
      <c r="L864" s="8" t="s">
        <v>5</v>
      </c>
      <c r="M864" s="8">
        <v>2026</v>
      </c>
      <c r="N864" s="8">
        <v>3</v>
      </c>
    </row>
    <row r="865" spans="2:14" x14ac:dyDescent="0.25">
      <c r="B865" s="8"/>
      <c r="C865" s="8"/>
      <c r="D865" s="10">
        <v>46113</v>
      </c>
      <c r="E865" s="8"/>
      <c r="F865" s="8" t="s">
        <v>218</v>
      </c>
      <c r="G865" s="8"/>
      <c r="H865" s="8"/>
      <c r="I865" s="8"/>
      <c r="J865" s="8">
        <v>-660</v>
      </c>
      <c r="K865" s="8" t="s">
        <v>19</v>
      </c>
      <c r="L865" s="8" t="s">
        <v>5</v>
      </c>
      <c r="M865" s="8">
        <v>2026</v>
      </c>
      <c r="N865" s="8">
        <v>4</v>
      </c>
    </row>
    <row r="866" spans="2:14" x14ac:dyDescent="0.25">
      <c r="B866" s="8"/>
      <c r="C866" s="8"/>
      <c r="D866" s="10">
        <v>46143</v>
      </c>
      <c r="E866" s="8"/>
      <c r="F866" s="8" t="s">
        <v>218</v>
      </c>
      <c r="G866" s="8"/>
      <c r="H866" s="8"/>
      <c r="I866" s="8"/>
      <c r="J866" s="8">
        <v>-2000</v>
      </c>
      <c r="K866" s="8" t="s">
        <v>19</v>
      </c>
      <c r="L866" s="8" t="s">
        <v>5</v>
      </c>
      <c r="M866" s="8">
        <v>2026</v>
      </c>
      <c r="N866" s="8">
        <v>5</v>
      </c>
    </row>
    <row r="867" spans="2:14" x14ac:dyDescent="0.25">
      <c r="B867" s="8"/>
      <c r="C867" s="8"/>
      <c r="D867" s="10">
        <v>46174</v>
      </c>
      <c r="E867" s="8"/>
      <c r="F867" s="8" t="s">
        <v>218</v>
      </c>
      <c r="G867" s="8"/>
      <c r="H867" s="8"/>
      <c r="I867" s="8"/>
      <c r="J867" s="8">
        <v>-2000</v>
      </c>
      <c r="K867" s="8" t="s">
        <v>19</v>
      </c>
      <c r="L867" s="8" t="s">
        <v>5</v>
      </c>
      <c r="M867" s="8">
        <v>2026</v>
      </c>
      <c r="N867" s="8">
        <v>6</v>
      </c>
    </row>
    <row r="868" spans="2:14" x14ac:dyDescent="0.25">
      <c r="B868" s="8"/>
      <c r="C868" s="8"/>
      <c r="D868" s="10">
        <v>46023</v>
      </c>
      <c r="E868" s="8"/>
      <c r="F868" s="8" t="s">
        <v>21</v>
      </c>
      <c r="G868" s="8"/>
      <c r="H868" s="8"/>
      <c r="I868" s="8"/>
      <c r="J868" s="8">
        <v>-7000</v>
      </c>
      <c r="K868" s="8" t="s">
        <v>22</v>
      </c>
      <c r="L868" s="8" t="s">
        <v>5</v>
      </c>
      <c r="M868" s="8">
        <v>2026</v>
      </c>
      <c r="N868" s="8">
        <v>1</v>
      </c>
    </row>
    <row r="869" spans="2:14" x14ac:dyDescent="0.25">
      <c r="B869" s="8"/>
      <c r="C869" s="8"/>
      <c r="D869" s="10">
        <v>46054</v>
      </c>
      <c r="E869" s="8"/>
      <c r="F869" s="8" t="s">
        <v>21</v>
      </c>
      <c r="G869" s="8"/>
      <c r="H869" s="8"/>
      <c r="I869" s="8"/>
      <c r="J869" s="8">
        <v>-7000</v>
      </c>
      <c r="K869" s="8" t="s">
        <v>22</v>
      </c>
      <c r="L869" s="8" t="s">
        <v>5</v>
      </c>
      <c r="M869" s="8">
        <v>2026</v>
      </c>
      <c r="N869" s="8">
        <v>2</v>
      </c>
    </row>
    <row r="870" spans="2:14" x14ac:dyDescent="0.25">
      <c r="B870" s="8"/>
      <c r="C870" s="8"/>
      <c r="D870" s="10">
        <v>46082</v>
      </c>
      <c r="E870" s="8"/>
      <c r="F870" s="8" t="s">
        <v>21</v>
      </c>
      <c r="G870" s="8"/>
      <c r="H870" s="8"/>
      <c r="I870" s="8"/>
      <c r="J870" s="8">
        <v>-7000</v>
      </c>
      <c r="K870" s="8" t="s">
        <v>22</v>
      </c>
      <c r="L870" s="8" t="s">
        <v>5</v>
      </c>
      <c r="M870" s="8">
        <v>2026</v>
      </c>
      <c r="N870" s="8">
        <v>3</v>
      </c>
    </row>
    <row r="871" spans="2:14" x14ac:dyDescent="0.25">
      <c r="B871" s="8"/>
      <c r="C871" s="8"/>
      <c r="D871" s="10">
        <v>46113</v>
      </c>
      <c r="E871" s="8"/>
      <c r="F871" s="8" t="s">
        <v>21</v>
      </c>
      <c r="G871" s="8"/>
      <c r="H871" s="8"/>
      <c r="I871" s="8"/>
      <c r="J871" s="8">
        <v>-5000</v>
      </c>
      <c r="K871" s="8" t="s">
        <v>22</v>
      </c>
      <c r="L871" s="8" t="s">
        <v>5</v>
      </c>
      <c r="M871" s="8">
        <v>2026</v>
      </c>
      <c r="N871" s="8">
        <v>4</v>
      </c>
    </row>
    <row r="872" spans="2:14" x14ac:dyDescent="0.25">
      <c r="B872" s="8"/>
      <c r="C872" s="8"/>
      <c r="D872" s="10">
        <v>46143</v>
      </c>
      <c r="E872" s="8"/>
      <c r="F872" s="8" t="s">
        <v>21</v>
      </c>
      <c r="G872" s="8"/>
      <c r="H872" s="8"/>
      <c r="I872" s="8"/>
      <c r="J872" s="8">
        <v>-7000</v>
      </c>
      <c r="K872" s="8" t="s">
        <v>22</v>
      </c>
      <c r="L872" s="8" t="s">
        <v>5</v>
      </c>
      <c r="M872" s="8">
        <v>2026</v>
      </c>
      <c r="N872" s="8">
        <v>5</v>
      </c>
    </row>
    <row r="873" spans="2:14" x14ac:dyDescent="0.25">
      <c r="B873" s="8"/>
      <c r="C873" s="8"/>
      <c r="D873" s="10">
        <v>46174</v>
      </c>
      <c r="E873" s="8"/>
      <c r="F873" s="8" t="s">
        <v>21</v>
      </c>
      <c r="G873" s="8"/>
      <c r="H873" s="8"/>
      <c r="I873" s="8"/>
      <c r="J873" s="8">
        <v>-6000</v>
      </c>
      <c r="K873" s="8" t="s">
        <v>22</v>
      </c>
      <c r="L873" s="8" t="s">
        <v>5</v>
      </c>
      <c r="M873" s="8">
        <v>2026</v>
      </c>
      <c r="N873" s="8">
        <v>6</v>
      </c>
    </row>
    <row r="874" spans="2:14" x14ac:dyDescent="0.25">
      <c r="B874" s="8"/>
      <c r="C874" s="8"/>
      <c r="D874" s="10">
        <v>46023</v>
      </c>
      <c r="E874" s="8"/>
      <c r="F874" s="8" t="s">
        <v>23</v>
      </c>
      <c r="G874" s="8"/>
      <c r="H874" s="8"/>
      <c r="I874" s="8"/>
      <c r="J874" s="8">
        <v>-1000</v>
      </c>
      <c r="K874" s="8" t="s">
        <v>22</v>
      </c>
      <c r="L874" s="8" t="s">
        <v>5</v>
      </c>
      <c r="M874" s="8">
        <v>2026</v>
      </c>
      <c r="N874" s="8">
        <v>1</v>
      </c>
    </row>
    <row r="875" spans="2:14" x14ac:dyDescent="0.25">
      <c r="B875" s="8"/>
      <c r="C875" s="8"/>
      <c r="D875" s="10">
        <v>46054</v>
      </c>
      <c r="E875" s="8"/>
      <c r="F875" s="8" t="s">
        <v>23</v>
      </c>
      <c r="G875" s="8"/>
      <c r="H875" s="8"/>
      <c r="I875" s="8"/>
      <c r="J875" s="8">
        <v>-1000</v>
      </c>
      <c r="K875" s="8" t="s">
        <v>22</v>
      </c>
      <c r="L875" s="8" t="s">
        <v>5</v>
      </c>
      <c r="M875" s="8">
        <v>2026</v>
      </c>
      <c r="N875" s="8">
        <v>2</v>
      </c>
    </row>
    <row r="876" spans="2:14" x14ac:dyDescent="0.25">
      <c r="B876" s="8"/>
      <c r="C876" s="8"/>
      <c r="D876" s="10">
        <v>46082</v>
      </c>
      <c r="E876" s="8"/>
      <c r="F876" s="8" t="s">
        <v>23</v>
      </c>
      <c r="G876" s="8"/>
      <c r="H876" s="8"/>
      <c r="I876" s="8"/>
      <c r="J876" s="8">
        <v>-1000</v>
      </c>
      <c r="K876" s="8" t="s">
        <v>22</v>
      </c>
      <c r="L876" s="8" t="s">
        <v>5</v>
      </c>
      <c r="M876" s="8">
        <v>2026</v>
      </c>
      <c r="N876" s="8">
        <v>3</v>
      </c>
    </row>
    <row r="877" spans="2:14" x14ac:dyDescent="0.25">
      <c r="B877" s="8"/>
      <c r="C877" s="8"/>
      <c r="D877" s="10">
        <v>46143</v>
      </c>
      <c r="E877" s="8"/>
      <c r="F877" s="8" t="s">
        <v>23</v>
      </c>
      <c r="G877" s="8"/>
      <c r="H877" s="8"/>
      <c r="I877" s="8"/>
      <c r="J877" s="8">
        <v>-1000</v>
      </c>
      <c r="K877" s="8" t="s">
        <v>22</v>
      </c>
      <c r="L877" s="8" t="s">
        <v>5</v>
      </c>
      <c r="M877" s="8">
        <v>2026</v>
      </c>
      <c r="N877" s="8">
        <v>5</v>
      </c>
    </row>
    <row r="878" spans="2:14" x14ac:dyDescent="0.25">
      <c r="B878" s="8"/>
      <c r="C878" s="8"/>
      <c r="D878" s="10">
        <v>46174</v>
      </c>
      <c r="E878" s="8"/>
      <c r="F878" s="8" t="s">
        <v>23</v>
      </c>
      <c r="G878" s="8"/>
      <c r="H878" s="8"/>
      <c r="I878" s="8"/>
      <c r="J878" s="8">
        <v>-1000</v>
      </c>
      <c r="K878" s="8" t="s">
        <v>22</v>
      </c>
      <c r="L878" s="8" t="s">
        <v>5</v>
      </c>
      <c r="M878" s="8">
        <v>2026</v>
      </c>
      <c r="N878" s="8">
        <v>6</v>
      </c>
    </row>
    <row r="879" spans="2:14" x14ac:dyDescent="0.25">
      <c r="B879" s="8"/>
      <c r="C879" s="8"/>
      <c r="D879" s="10">
        <v>46054</v>
      </c>
      <c r="E879" s="8"/>
      <c r="F879" s="8" t="s">
        <v>24</v>
      </c>
      <c r="G879" s="8"/>
      <c r="H879" s="8"/>
      <c r="I879" s="8"/>
      <c r="J879" s="8">
        <v>-2000</v>
      </c>
      <c r="K879" s="8" t="s">
        <v>22</v>
      </c>
      <c r="L879" s="8" t="s">
        <v>5</v>
      </c>
      <c r="M879" s="8">
        <v>2026</v>
      </c>
      <c r="N879" s="8">
        <v>2</v>
      </c>
    </row>
    <row r="880" spans="2:14" x14ac:dyDescent="0.25">
      <c r="B880" s="8"/>
      <c r="C880" s="8"/>
      <c r="D880" s="10">
        <v>46082</v>
      </c>
      <c r="E880" s="8"/>
      <c r="F880" s="8" t="s">
        <v>24</v>
      </c>
      <c r="G880" s="8"/>
      <c r="H880" s="8"/>
      <c r="I880" s="8"/>
      <c r="J880" s="8">
        <v>-2000</v>
      </c>
      <c r="K880" s="8" t="s">
        <v>22</v>
      </c>
      <c r="L880" s="8" t="s">
        <v>5</v>
      </c>
      <c r="M880" s="8">
        <v>2026</v>
      </c>
      <c r="N880" s="8">
        <v>3</v>
      </c>
    </row>
    <row r="881" spans="2:14" x14ac:dyDescent="0.25">
      <c r="B881" s="8"/>
      <c r="C881" s="8"/>
      <c r="D881" s="10">
        <v>46023</v>
      </c>
      <c r="E881" s="8"/>
      <c r="F881" s="8" t="s">
        <v>25</v>
      </c>
      <c r="G881" s="8"/>
      <c r="H881" s="8"/>
      <c r="I881" s="8"/>
      <c r="J881" s="8">
        <v>-3000</v>
      </c>
      <c r="K881" s="8" t="s">
        <v>22</v>
      </c>
      <c r="L881" s="8" t="s">
        <v>5</v>
      </c>
      <c r="M881" s="8">
        <v>2026</v>
      </c>
      <c r="N881" s="8">
        <v>1</v>
      </c>
    </row>
    <row r="882" spans="2:14" x14ac:dyDescent="0.25">
      <c r="B882" s="8"/>
      <c r="C882" s="8"/>
      <c r="D882" s="10">
        <v>46054</v>
      </c>
      <c r="E882" s="8"/>
      <c r="F882" s="8" t="s">
        <v>25</v>
      </c>
      <c r="G882" s="8"/>
      <c r="H882" s="8"/>
      <c r="I882" s="8"/>
      <c r="J882" s="8">
        <v>-3000</v>
      </c>
      <c r="K882" s="8" t="s">
        <v>22</v>
      </c>
      <c r="L882" s="8" t="s">
        <v>5</v>
      </c>
      <c r="M882" s="8">
        <v>2026</v>
      </c>
      <c r="N882" s="8">
        <v>2</v>
      </c>
    </row>
    <row r="883" spans="2:14" x14ac:dyDescent="0.25">
      <c r="B883" s="8"/>
      <c r="C883" s="8"/>
      <c r="D883" s="10">
        <v>46082</v>
      </c>
      <c r="E883" s="8"/>
      <c r="F883" s="8" t="s">
        <v>25</v>
      </c>
      <c r="G883" s="8"/>
      <c r="H883" s="8"/>
      <c r="I883" s="8"/>
      <c r="J883" s="8">
        <v>-3000</v>
      </c>
      <c r="K883" s="8" t="s">
        <v>22</v>
      </c>
      <c r="L883" s="8" t="s">
        <v>5</v>
      </c>
      <c r="M883" s="8">
        <v>2026</v>
      </c>
      <c r="N883" s="8">
        <v>3</v>
      </c>
    </row>
    <row r="884" spans="2:14" x14ac:dyDescent="0.25">
      <c r="B884" s="8"/>
      <c r="C884" s="8"/>
      <c r="D884" s="10">
        <v>46113</v>
      </c>
      <c r="E884" s="8"/>
      <c r="F884" s="8" t="s">
        <v>25</v>
      </c>
      <c r="G884" s="8"/>
      <c r="H884" s="8"/>
      <c r="I884" s="8"/>
      <c r="J884" s="8">
        <v>-4000</v>
      </c>
      <c r="K884" s="8" t="s">
        <v>22</v>
      </c>
      <c r="L884" s="8" t="s">
        <v>5</v>
      </c>
      <c r="M884" s="8">
        <v>2026</v>
      </c>
      <c r="N884" s="8">
        <v>4</v>
      </c>
    </row>
    <row r="885" spans="2:14" x14ac:dyDescent="0.25">
      <c r="B885" s="8"/>
      <c r="C885" s="8"/>
      <c r="D885" s="10">
        <v>46143</v>
      </c>
      <c r="E885" s="8"/>
      <c r="F885" s="8" t="s">
        <v>25</v>
      </c>
      <c r="G885" s="8"/>
      <c r="H885" s="8"/>
      <c r="I885" s="8"/>
      <c r="J885" s="8">
        <v>-4000</v>
      </c>
      <c r="K885" s="8" t="s">
        <v>22</v>
      </c>
      <c r="L885" s="8" t="s">
        <v>5</v>
      </c>
      <c r="M885" s="8">
        <v>2026</v>
      </c>
      <c r="N885" s="8">
        <v>5</v>
      </c>
    </row>
    <row r="886" spans="2:14" x14ac:dyDescent="0.25">
      <c r="B886" s="8"/>
      <c r="C886" s="8"/>
      <c r="D886" s="10">
        <v>46174</v>
      </c>
      <c r="E886" s="8"/>
      <c r="F886" s="8" t="s">
        <v>25</v>
      </c>
      <c r="G886" s="8"/>
      <c r="H886" s="8"/>
      <c r="I886" s="8"/>
      <c r="J886" s="8">
        <v>-4000</v>
      </c>
      <c r="K886" s="8" t="s">
        <v>22</v>
      </c>
      <c r="L886" s="8" t="s">
        <v>5</v>
      </c>
      <c r="M886" s="8">
        <v>2026</v>
      </c>
      <c r="N886" s="8">
        <v>6</v>
      </c>
    </row>
    <row r="887" spans="2:14" x14ac:dyDescent="0.25">
      <c r="B887" s="8"/>
      <c r="C887" s="8"/>
      <c r="D887" s="10">
        <v>46023</v>
      </c>
      <c r="E887" s="8"/>
      <c r="F887" s="8" t="s">
        <v>26</v>
      </c>
      <c r="G887" s="8"/>
      <c r="H887" s="8"/>
      <c r="I887" s="8"/>
      <c r="J887" s="8">
        <v>-300</v>
      </c>
      <c r="K887" s="8" t="s">
        <v>22</v>
      </c>
      <c r="L887" s="8" t="s">
        <v>5</v>
      </c>
      <c r="M887" s="8">
        <v>2026</v>
      </c>
      <c r="N887" s="8">
        <v>1</v>
      </c>
    </row>
    <row r="888" spans="2:14" x14ac:dyDescent="0.25">
      <c r="B888" s="8"/>
      <c r="C888" s="8"/>
      <c r="D888" s="10">
        <v>46054</v>
      </c>
      <c r="E888" s="8"/>
      <c r="F888" s="8" t="s">
        <v>26</v>
      </c>
      <c r="G888" s="8"/>
      <c r="H888" s="8"/>
      <c r="I888" s="8"/>
      <c r="J888" s="8">
        <v>-300</v>
      </c>
      <c r="K888" s="8" t="s">
        <v>22</v>
      </c>
      <c r="L888" s="8" t="s">
        <v>5</v>
      </c>
      <c r="M888" s="8">
        <v>2026</v>
      </c>
      <c r="N888" s="8">
        <v>2</v>
      </c>
    </row>
    <row r="889" spans="2:14" x14ac:dyDescent="0.25">
      <c r="B889" s="8"/>
      <c r="C889" s="8"/>
      <c r="D889" s="10">
        <v>46082</v>
      </c>
      <c r="E889" s="8"/>
      <c r="F889" s="8" t="s">
        <v>26</v>
      </c>
      <c r="G889" s="8"/>
      <c r="H889" s="8"/>
      <c r="I889" s="8"/>
      <c r="J889" s="8">
        <v>-300</v>
      </c>
      <c r="K889" s="8" t="s">
        <v>22</v>
      </c>
      <c r="L889" s="8" t="s">
        <v>5</v>
      </c>
      <c r="M889" s="8">
        <v>2026</v>
      </c>
      <c r="N889" s="8">
        <v>3</v>
      </c>
    </row>
    <row r="890" spans="2:14" x14ac:dyDescent="0.25">
      <c r="B890" s="8"/>
      <c r="C890" s="8"/>
      <c r="D890" s="10">
        <v>46113</v>
      </c>
      <c r="E890" s="8"/>
      <c r="F890" s="8" t="s">
        <v>26</v>
      </c>
      <c r="G890" s="8"/>
      <c r="H890" s="8"/>
      <c r="I890" s="8"/>
      <c r="J890" s="8">
        <v>-300</v>
      </c>
      <c r="K890" s="8" t="s">
        <v>22</v>
      </c>
      <c r="L890" s="8" t="s">
        <v>5</v>
      </c>
      <c r="M890" s="8">
        <v>2026</v>
      </c>
      <c r="N890" s="8">
        <v>4</v>
      </c>
    </row>
    <row r="891" spans="2:14" x14ac:dyDescent="0.25">
      <c r="B891" s="8"/>
      <c r="C891" s="8"/>
      <c r="D891" s="10">
        <v>46174</v>
      </c>
      <c r="E891" s="8"/>
      <c r="F891" s="8" t="s">
        <v>26</v>
      </c>
      <c r="G891" s="8"/>
      <c r="H891" s="8"/>
      <c r="I891" s="8"/>
      <c r="J891" s="8">
        <v>-300</v>
      </c>
      <c r="K891" s="8" t="s">
        <v>22</v>
      </c>
      <c r="L891" s="8" t="s">
        <v>5</v>
      </c>
      <c r="M891" s="8">
        <v>2026</v>
      </c>
      <c r="N891" s="8">
        <v>6</v>
      </c>
    </row>
    <row r="892" spans="2:14" x14ac:dyDescent="0.25">
      <c r="B892" s="8"/>
      <c r="C892" s="8"/>
      <c r="D892" s="10">
        <v>46023</v>
      </c>
      <c r="E892" s="8"/>
      <c r="F892" s="8" t="s">
        <v>27</v>
      </c>
      <c r="G892" s="8"/>
      <c r="H892" s="8"/>
      <c r="I892" s="8"/>
      <c r="J892" s="8">
        <v>-1500</v>
      </c>
      <c r="K892" s="8" t="s">
        <v>28</v>
      </c>
      <c r="L892" s="8" t="s">
        <v>5</v>
      </c>
      <c r="M892" s="8">
        <v>2026</v>
      </c>
      <c r="N892" s="8">
        <v>1</v>
      </c>
    </row>
    <row r="893" spans="2:14" x14ac:dyDescent="0.25">
      <c r="B893" s="8"/>
      <c r="C893" s="8"/>
      <c r="D893" s="10">
        <v>46113</v>
      </c>
      <c r="E893" s="8"/>
      <c r="F893" s="8" t="s">
        <v>27</v>
      </c>
      <c r="G893" s="8"/>
      <c r="H893" s="8"/>
      <c r="I893" s="8"/>
      <c r="J893" s="8">
        <v>-4500</v>
      </c>
      <c r="K893" s="8" t="s">
        <v>28</v>
      </c>
      <c r="L893" s="8" t="s">
        <v>5</v>
      </c>
      <c r="M893" s="8">
        <v>2026</v>
      </c>
      <c r="N893" s="8">
        <v>4</v>
      </c>
    </row>
    <row r="894" spans="2:14" x14ac:dyDescent="0.25">
      <c r="B894" s="8"/>
      <c r="C894" s="8"/>
      <c r="D894" s="10">
        <v>46023</v>
      </c>
      <c r="E894" s="8"/>
      <c r="F894" s="8" t="s">
        <v>29</v>
      </c>
      <c r="G894" s="8"/>
      <c r="H894" s="8"/>
      <c r="I894" s="8"/>
      <c r="J894" s="8">
        <v>-1000</v>
      </c>
      <c r="K894" s="8" t="s">
        <v>28</v>
      </c>
      <c r="L894" s="8" t="s">
        <v>5</v>
      </c>
      <c r="M894" s="8">
        <v>2026</v>
      </c>
      <c r="N894" s="8">
        <v>1</v>
      </c>
    </row>
    <row r="895" spans="2:14" x14ac:dyDescent="0.25">
      <c r="B895" s="8"/>
      <c r="C895" s="8"/>
      <c r="D895" s="10">
        <v>46054</v>
      </c>
      <c r="E895" s="8"/>
      <c r="F895" s="8" t="s">
        <v>29</v>
      </c>
      <c r="G895" s="8"/>
      <c r="H895" s="8"/>
      <c r="I895" s="8"/>
      <c r="J895" s="8">
        <v>-1000</v>
      </c>
      <c r="K895" s="8" t="s">
        <v>28</v>
      </c>
      <c r="L895" s="8" t="s">
        <v>5</v>
      </c>
      <c r="M895" s="8">
        <v>2026</v>
      </c>
      <c r="N895" s="8">
        <v>2</v>
      </c>
    </row>
    <row r="896" spans="2:14" x14ac:dyDescent="0.25">
      <c r="B896" s="8"/>
      <c r="C896" s="8"/>
      <c r="D896" s="10">
        <v>46082</v>
      </c>
      <c r="E896" s="8"/>
      <c r="F896" s="8" t="s">
        <v>29</v>
      </c>
      <c r="G896" s="8"/>
      <c r="H896" s="8"/>
      <c r="I896" s="8"/>
      <c r="J896" s="8">
        <v>-1000</v>
      </c>
      <c r="K896" s="8" t="s">
        <v>28</v>
      </c>
      <c r="L896" s="8" t="s">
        <v>5</v>
      </c>
      <c r="M896" s="8">
        <v>2026</v>
      </c>
      <c r="N896" s="8">
        <v>3</v>
      </c>
    </row>
    <row r="897" spans="2:14" x14ac:dyDescent="0.25">
      <c r="B897" s="8"/>
      <c r="C897" s="8"/>
      <c r="D897" s="10">
        <v>46143</v>
      </c>
      <c r="E897" s="8"/>
      <c r="F897" s="8" t="s">
        <v>29</v>
      </c>
      <c r="G897" s="8"/>
      <c r="H897" s="8"/>
      <c r="I897" s="8"/>
      <c r="J897" s="8">
        <v>-1000</v>
      </c>
      <c r="K897" s="8" t="s">
        <v>28</v>
      </c>
      <c r="L897" s="8" t="s">
        <v>5</v>
      </c>
      <c r="M897" s="8">
        <v>2026</v>
      </c>
      <c r="N897" s="8">
        <v>5</v>
      </c>
    </row>
    <row r="898" spans="2:14" x14ac:dyDescent="0.25">
      <c r="B898" s="8"/>
      <c r="C898" s="8"/>
      <c r="D898" s="10">
        <v>46174</v>
      </c>
      <c r="E898" s="8"/>
      <c r="F898" s="8" t="s">
        <v>29</v>
      </c>
      <c r="G898" s="8"/>
      <c r="H898" s="8"/>
      <c r="I898" s="8"/>
      <c r="J898" s="8">
        <v>-1000</v>
      </c>
      <c r="K898" s="8" t="s">
        <v>28</v>
      </c>
      <c r="L898" s="8" t="s">
        <v>5</v>
      </c>
      <c r="M898" s="8">
        <v>2026</v>
      </c>
      <c r="N898" s="8">
        <v>6</v>
      </c>
    </row>
    <row r="899" spans="2:14" x14ac:dyDescent="0.25">
      <c r="B899" s="8"/>
      <c r="C899" s="8"/>
      <c r="D899" s="10">
        <v>46023</v>
      </c>
      <c r="E899" s="8"/>
      <c r="F899" s="8" t="s">
        <v>83</v>
      </c>
      <c r="G899" s="8"/>
      <c r="H899" s="8"/>
      <c r="I899" s="8"/>
      <c r="J899" s="8">
        <v>-5000</v>
      </c>
      <c r="K899" s="8" t="s">
        <v>38</v>
      </c>
      <c r="L899" s="8" t="s">
        <v>5</v>
      </c>
      <c r="M899" s="8">
        <v>2026</v>
      </c>
      <c r="N899" s="8">
        <v>1</v>
      </c>
    </row>
    <row r="900" spans="2:14" x14ac:dyDescent="0.25">
      <c r="B900" s="8"/>
      <c r="C900" s="8"/>
      <c r="D900" s="10">
        <v>46054</v>
      </c>
      <c r="E900" s="8"/>
      <c r="F900" s="8" t="s">
        <v>83</v>
      </c>
      <c r="G900" s="8"/>
      <c r="H900" s="8"/>
      <c r="I900" s="8"/>
      <c r="J900" s="8">
        <v>-5000</v>
      </c>
      <c r="K900" s="8" t="s">
        <v>38</v>
      </c>
      <c r="L900" s="8" t="s">
        <v>5</v>
      </c>
      <c r="M900" s="8">
        <v>2026</v>
      </c>
      <c r="N900" s="8">
        <v>2</v>
      </c>
    </row>
    <row r="901" spans="2:14" x14ac:dyDescent="0.25">
      <c r="B901" s="8"/>
      <c r="C901" s="8"/>
      <c r="D901" s="10">
        <v>46082</v>
      </c>
      <c r="E901" s="8"/>
      <c r="F901" s="8" t="s">
        <v>83</v>
      </c>
      <c r="G901" s="8"/>
      <c r="H901" s="8"/>
      <c r="I901" s="8"/>
      <c r="J901" s="8">
        <v>-5000</v>
      </c>
      <c r="K901" s="8" t="s">
        <v>38</v>
      </c>
      <c r="L901" s="8" t="s">
        <v>5</v>
      </c>
      <c r="M901" s="8">
        <v>2026</v>
      </c>
      <c r="N901" s="8">
        <v>3</v>
      </c>
    </row>
    <row r="902" spans="2:14" x14ac:dyDescent="0.25">
      <c r="B902" s="8"/>
      <c r="C902" s="8"/>
      <c r="D902" s="10">
        <v>46113</v>
      </c>
      <c r="E902" s="8"/>
      <c r="F902" s="8" t="s">
        <v>83</v>
      </c>
      <c r="G902" s="8"/>
      <c r="H902" s="8"/>
      <c r="I902" s="8"/>
      <c r="J902" s="8">
        <v>-5000</v>
      </c>
      <c r="K902" s="8" t="s">
        <v>38</v>
      </c>
      <c r="L902" s="8" t="s">
        <v>5</v>
      </c>
      <c r="M902" s="8">
        <v>2026</v>
      </c>
      <c r="N902" s="8">
        <v>4</v>
      </c>
    </row>
    <row r="903" spans="2:14" x14ac:dyDescent="0.25">
      <c r="B903" s="8"/>
      <c r="C903" s="8"/>
      <c r="D903" s="10">
        <v>46143</v>
      </c>
      <c r="E903" s="8"/>
      <c r="F903" s="8" t="s">
        <v>83</v>
      </c>
      <c r="G903" s="8"/>
      <c r="H903" s="8"/>
      <c r="I903" s="8"/>
      <c r="J903" s="8">
        <v>-5000</v>
      </c>
      <c r="K903" s="8" t="s">
        <v>38</v>
      </c>
      <c r="L903" s="8" t="s">
        <v>5</v>
      </c>
      <c r="M903" s="8">
        <v>2026</v>
      </c>
      <c r="N903" s="8">
        <v>5</v>
      </c>
    </row>
    <row r="904" spans="2:14" x14ac:dyDescent="0.25">
      <c r="B904" s="8"/>
      <c r="C904" s="8"/>
      <c r="D904" s="10">
        <v>46174</v>
      </c>
      <c r="E904" s="8"/>
      <c r="F904" s="8" t="s">
        <v>83</v>
      </c>
      <c r="G904" s="8"/>
      <c r="H904" s="8"/>
      <c r="I904" s="8"/>
      <c r="J904" s="8">
        <v>-5000</v>
      </c>
      <c r="K904" s="8" t="s">
        <v>38</v>
      </c>
      <c r="L904" s="8" t="s">
        <v>5</v>
      </c>
      <c r="M904" s="8">
        <v>2026</v>
      </c>
      <c r="N904" s="8">
        <v>6</v>
      </c>
    </row>
    <row r="905" spans="2:14" x14ac:dyDescent="0.25">
      <c r="B905" s="8"/>
      <c r="C905" s="8"/>
      <c r="D905" s="10">
        <v>46204</v>
      </c>
      <c r="E905" s="8"/>
      <c r="F905" s="8" t="s">
        <v>83</v>
      </c>
      <c r="G905" s="8"/>
      <c r="H905" s="8"/>
      <c r="I905" s="8"/>
      <c r="J905" s="8">
        <v>-5000</v>
      </c>
      <c r="K905" s="8" t="s">
        <v>38</v>
      </c>
      <c r="L905" s="8" t="s">
        <v>5</v>
      </c>
      <c r="M905" s="8">
        <v>2026</v>
      </c>
      <c r="N905" s="8">
        <v>7</v>
      </c>
    </row>
    <row r="906" spans="2:14" x14ac:dyDescent="0.25">
      <c r="B906" s="8"/>
      <c r="C906" s="8"/>
      <c r="D906" s="10">
        <v>46235</v>
      </c>
      <c r="E906" s="8"/>
      <c r="F906" s="8" t="s">
        <v>83</v>
      </c>
      <c r="G906" s="8"/>
      <c r="H906" s="8"/>
      <c r="I906" s="8"/>
      <c r="J906" s="8">
        <v>-5000</v>
      </c>
      <c r="K906" s="8" t="s">
        <v>38</v>
      </c>
      <c r="L906" s="8" t="s">
        <v>5</v>
      </c>
      <c r="M906" s="8">
        <v>2026</v>
      </c>
      <c r="N906" s="8">
        <v>8</v>
      </c>
    </row>
    <row r="907" spans="2:14" x14ac:dyDescent="0.25">
      <c r="B907" s="8"/>
      <c r="C907" s="8"/>
      <c r="D907" s="10">
        <v>46266</v>
      </c>
      <c r="E907" s="8"/>
      <c r="F907" s="8" t="s">
        <v>83</v>
      </c>
      <c r="G907" s="8"/>
      <c r="H907" s="8"/>
      <c r="I907" s="8"/>
      <c r="J907" s="8">
        <v>-5000</v>
      </c>
      <c r="K907" s="8" t="s">
        <v>38</v>
      </c>
      <c r="L907" s="8" t="s">
        <v>5</v>
      </c>
      <c r="M907" s="8">
        <v>2026</v>
      </c>
      <c r="N907" s="8">
        <v>9</v>
      </c>
    </row>
    <row r="908" spans="2:14" x14ac:dyDescent="0.25">
      <c r="B908" s="8"/>
      <c r="C908" s="8"/>
      <c r="D908" s="10">
        <v>46296</v>
      </c>
      <c r="E908" s="8"/>
      <c r="F908" s="8" t="s">
        <v>83</v>
      </c>
      <c r="G908" s="8"/>
      <c r="H908" s="8"/>
      <c r="I908" s="8"/>
      <c r="J908" s="8">
        <v>-5000</v>
      </c>
      <c r="K908" s="8" t="s">
        <v>38</v>
      </c>
      <c r="L908" s="8" t="s">
        <v>5</v>
      </c>
      <c r="M908" s="8">
        <v>2026</v>
      </c>
      <c r="N908" s="8">
        <v>10</v>
      </c>
    </row>
    <row r="909" spans="2:14" x14ac:dyDescent="0.25">
      <c r="B909" s="8"/>
      <c r="C909" s="8"/>
      <c r="D909" s="10">
        <v>46327</v>
      </c>
      <c r="E909" s="8"/>
      <c r="F909" s="8" t="s">
        <v>83</v>
      </c>
      <c r="G909" s="8"/>
      <c r="H909" s="8"/>
      <c r="I909" s="8"/>
      <c r="J909" s="8">
        <v>-5000</v>
      </c>
      <c r="K909" s="8" t="s">
        <v>38</v>
      </c>
      <c r="L909" s="8" t="s">
        <v>5</v>
      </c>
      <c r="M909" s="8">
        <v>2026</v>
      </c>
      <c r="N909" s="8">
        <v>11</v>
      </c>
    </row>
    <row r="910" spans="2:14" x14ac:dyDescent="0.25">
      <c r="B910" s="8"/>
      <c r="C910" s="8"/>
      <c r="D910" s="10">
        <v>46357</v>
      </c>
      <c r="E910" s="8"/>
      <c r="F910" s="8" t="s">
        <v>83</v>
      </c>
      <c r="G910" s="8"/>
      <c r="H910" s="8"/>
      <c r="I910" s="8"/>
      <c r="J910" s="8">
        <v>-5000</v>
      </c>
      <c r="K910" s="8" t="s">
        <v>38</v>
      </c>
      <c r="L910" s="8" t="s">
        <v>5</v>
      </c>
      <c r="M910" s="8">
        <v>2026</v>
      </c>
      <c r="N910" s="8">
        <v>12</v>
      </c>
    </row>
    <row r="911" spans="2:14" x14ac:dyDescent="0.25">
      <c r="B911" s="8"/>
      <c r="C911" s="8"/>
      <c r="D911" s="10">
        <v>46023</v>
      </c>
      <c r="E911" s="8"/>
      <c r="F911" s="8" t="s">
        <v>84</v>
      </c>
      <c r="G911" s="8"/>
      <c r="H911" s="8"/>
      <c r="I911" s="8"/>
      <c r="J911" s="8">
        <v>-5000</v>
      </c>
      <c r="K911" s="8" t="s">
        <v>38</v>
      </c>
      <c r="L911" s="8" t="s">
        <v>5</v>
      </c>
      <c r="M911" s="8">
        <v>2026</v>
      </c>
      <c r="N911" s="8">
        <v>1</v>
      </c>
    </row>
    <row r="912" spans="2:14" x14ac:dyDescent="0.25">
      <c r="B912" s="8"/>
      <c r="C912" s="8"/>
      <c r="D912" s="10">
        <v>46054</v>
      </c>
      <c r="E912" s="8"/>
      <c r="F912" s="8" t="s">
        <v>84</v>
      </c>
      <c r="G912" s="8"/>
      <c r="H912" s="8"/>
      <c r="I912" s="8"/>
      <c r="J912" s="8">
        <v>-4621</v>
      </c>
      <c r="K912" s="8" t="s">
        <v>38</v>
      </c>
      <c r="L912" s="8" t="s">
        <v>5</v>
      </c>
      <c r="M912" s="8">
        <v>2026</v>
      </c>
      <c r="N912" s="8">
        <v>2</v>
      </c>
    </row>
    <row r="913" spans="2:14" x14ac:dyDescent="0.25">
      <c r="B913" s="8"/>
      <c r="C913" s="8"/>
      <c r="D913" s="10">
        <v>46082</v>
      </c>
      <c r="E913" s="8"/>
      <c r="F913" s="8" t="s">
        <v>84</v>
      </c>
      <c r="G913" s="8"/>
      <c r="H913" s="8"/>
      <c r="I913" s="8"/>
      <c r="J913" s="8">
        <v>-4621</v>
      </c>
      <c r="K913" s="8" t="s">
        <v>38</v>
      </c>
      <c r="L913" s="8" t="s">
        <v>5</v>
      </c>
      <c r="M913" s="8">
        <v>2026</v>
      </c>
      <c r="N913" s="8">
        <v>3</v>
      </c>
    </row>
    <row r="914" spans="2:14" x14ac:dyDescent="0.25">
      <c r="B914" s="8"/>
      <c r="C914" s="8"/>
      <c r="D914" s="10">
        <v>46113</v>
      </c>
      <c r="E914" s="8"/>
      <c r="F914" s="8" t="s">
        <v>84</v>
      </c>
      <c r="G914" s="8"/>
      <c r="H914" s="8"/>
      <c r="I914" s="8"/>
      <c r="J914" s="8">
        <v>-4621</v>
      </c>
      <c r="K914" s="8" t="s">
        <v>38</v>
      </c>
      <c r="L914" s="8" t="s">
        <v>5</v>
      </c>
      <c r="M914" s="8">
        <v>2026</v>
      </c>
      <c r="N914" s="8">
        <v>4</v>
      </c>
    </row>
    <row r="915" spans="2:14" x14ac:dyDescent="0.25">
      <c r="B915" s="8"/>
      <c r="C915" s="8"/>
      <c r="D915" s="10">
        <v>46143</v>
      </c>
      <c r="E915" s="8"/>
      <c r="F915" s="8" t="s">
        <v>84</v>
      </c>
      <c r="G915" s="8"/>
      <c r="H915" s="8"/>
      <c r="I915" s="8"/>
      <c r="J915" s="8">
        <v>-4621</v>
      </c>
      <c r="K915" s="8" t="s">
        <v>38</v>
      </c>
      <c r="L915" s="8" t="s">
        <v>5</v>
      </c>
      <c r="M915" s="8">
        <v>2026</v>
      </c>
      <c r="N915" s="8">
        <v>5</v>
      </c>
    </row>
    <row r="916" spans="2:14" x14ac:dyDescent="0.25">
      <c r="B916" s="8"/>
      <c r="C916" s="8"/>
      <c r="D916" s="10">
        <v>46174</v>
      </c>
      <c r="E916" s="8"/>
      <c r="F916" s="8" t="s">
        <v>84</v>
      </c>
      <c r="G916" s="8"/>
      <c r="H916" s="8"/>
      <c r="I916" s="8"/>
      <c r="J916" s="8">
        <v>-4621</v>
      </c>
      <c r="K916" s="8" t="s">
        <v>38</v>
      </c>
      <c r="L916" s="8" t="s">
        <v>5</v>
      </c>
      <c r="M916" s="8">
        <v>2026</v>
      </c>
      <c r="N916" s="8">
        <v>6</v>
      </c>
    </row>
    <row r="917" spans="2:14" x14ac:dyDescent="0.25">
      <c r="B917" s="8"/>
      <c r="C917" s="8"/>
      <c r="D917" s="10">
        <v>46204</v>
      </c>
      <c r="E917" s="8"/>
      <c r="F917" s="8" t="s">
        <v>84</v>
      </c>
      <c r="G917" s="8"/>
      <c r="H917" s="8"/>
      <c r="I917" s="8"/>
      <c r="J917" s="8">
        <v>-4621</v>
      </c>
      <c r="K917" s="8" t="s">
        <v>38</v>
      </c>
      <c r="L917" s="8" t="s">
        <v>5</v>
      </c>
      <c r="M917" s="8">
        <v>2026</v>
      </c>
      <c r="N917" s="8">
        <v>7</v>
      </c>
    </row>
    <row r="918" spans="2:14" x14ac:dyDescent="0.25">
      <c r="B918" s="8"/>
      <c r="C918" s="8"/>
      <c r="D918" s="10">
        <v>46235</v>
      </c>
      <c r="E918" s="8"/>
      <c r="F918" s="8" t="s">
        <v>84</v>
      </c>
      <c r="G918" s="8"/>
      <c r="H918" s="8"/>
      <c r="I918" s="8"/>
      <c r="J918" s="8">
        <v>-4621</v>
      </c>
      <c r="K918" s="8" t="s">
        <v>38</v>
      </c>
      <c r="L918" s="8" t="s">
        <v>5</v>
      </c>
      <c r="M918" s="8">
        <v>2026</v>
      </c>
      <c r="N918" s="8">
        <v>8</v>
      </c>
    </row>
    <row r="919" spans="2:14" x14ac:dyDescent="0.25">
      <c r="B919" s="8"/>
      <c r="C919" s="8"/>
      <c r="D919" s="10">
        <v>46266</v>
      </c>
      <c r="E919" s="8"/>
      <c r="F919" s="8" t="s">
        <v>84</v>
      </c>
      <c r="G919" s="8"/>
      <c r="H919" s="8"/>
      <c r="I919" s="8"/>
      <c r="J919" s="8">
        <v>-4621</v>
      </c>
      <c r="K919" s="8" t="s">
        <v>38</v>
      </c>
      <c r="L919" s="8" t="s">
        <v>5</v>
      </c>
      <c r="M919" s="8">
        <v>2026</v>
      </c>
      <c r="N919" s="8">
        <v>9</v>
      </c>
    </row>
    <row r="920" spans="2:14" x14ac:dyDescent="0.25">
      <c r="B920" s="8"/>
      <c r="C920" s="8"/>
      <c r="D920" s="10">
        <v>46296</v>
      </c>
      <c r="E920" s="8"/>
      <c r="F920" s="8" t="s">
        <v>84</v>
      </c>
      <c r="G920" s="8"/>
      <c r="H920" s="8"/>
      <c r="I920" s="8"/>
      <c r="J920" s="8">
        <v>-4621</v>
      </c>
      <c r="K920" s="8" t="s">
        <v>38</v>
      </c>
      <c r="L920" s="8" t="s">
        <v>5</v>
      </c>
      <c r="M920" s="8">
        <v>2026</v>
      </c>
      <c r="N920" s="8">
        <v>10</v>
      </c>
    </row>
    <row r="921" spans="2:14" x14ac:dyDescent="0.25">
      <c r="B921" s="8"/>
      <c r="C921" s="8"/>
      <c r="D921" s="10">
        <v>46327</v>
      </c>
      <c r="E921" s="8"/>
      <c r="F921" s="8" t="s">
        <v>84</v>
      </c>
      <c r="G921" s="8"/>
      <c r="H921" s="8"/>
      <c r="I921" s="8"/>
      <c r="J921" s="8">
        <v>-4621</v>
      </c>
      <c r="K921" s="8" t="s">
        <v>38</v>
      </c>
      <c r="L921" s="8" t="s">
        <v>5</v>
      </c>
      <c r="M921" s="8">
        <v>2026</v>
      </c>
      <c r="N921" s="8">
        <v>11</v>
      </c>
    </row>
    <row r="922" spans="2:14" x14ac:dyDescent="0.25">
      <c r="B922" s="8"/>
      <c r="C922" s="8"/>
      <c r="D922" s="10">
        <v>46357</v>
      </c>
      <c r="E922" s="8"/>
      <c r="F922" s="8" t="s">
        <v>84</v>
      </c>
      <c r="G922" s="8"/>
      <c r="H922" s="8"/>
      <c r="I922" s="8"/>
      <c r="J922" s="8">
        <v>-4621</v>
      </c>
      <c r="K922" s="8" t="s">
        <v>38</v>
      </c>
      <c r="L922" s="8" t="s">
        <v>5</v>
      </c>
      <c r="M922" s="8">
        <v>2026</v>
      </c>
      <c r="N922" s="8">
        <v>12</v>
      </c>
    </row>
    <row r="923" spans="2:14" x14ac:dyDescent="0.25">
      <c r="B923" s="8"/>
      <c r="C923" s="8"/>
      <c r="D923" s="10">
        <v>46023</v>
      </c>
      <c r="E923" s="8"/>
      <c r="F923" s="8" t="s">
        <v>37</v>
      </c>
      <c r="G923" s="8"/>
      <c r="H923" s="8"/>
      <c r="I923" s="8"/>
      <c r="J923" s="8">
        <v>-55629</v>
      </c>
      <c r="K923" s="8" t="s">
        <v>38</v>
      </c>
      <c r="L923" s="8" t="s">
        <v>5</v>
      </c>
      <c r="M923" s="8">
        <v>2026</v>
      </c>
      <c r="N923" s="8">
        <v>1</v>
      </c>
    </row>
    <row r="924" spans="2:14" x14ac:dyDescent="0.25">
      <c r="B924" s="8"/>
      <c r="C924" s="8"/>
      <c r="D924" s="10">
        <v>46054</v>
      </c>
      <c r="E924" s="8"/>
      <c r="F924" s="8" t="s">
        <v>37</v>
      </c>
      <c r="G924" s="8"/>
      <c r="H924" s="8"/>
      <c r="I924" s="8"/>
      <c r="J924" s="8">
        <v>-40991</v>
      </c>
      <c r="K924" s="8" t="s">
        <v>38</v>
      </c>
      <c r="L924" s="8" t="s">
        <v>5</v>
      </c>
      <c r="M924" s="8">
        <v>2026</v>
      </c>
      <c r="N924" s="8">
        <v>2</v>
      </c>
    </row>
    <row r="925" spans="2:14" x14ac:dyDescent="0.25">
      <c r="B925" s="8"/>
      <c r="C925" s="8"/>
      <c r="D925" s="10">
        <v>46174</v>
      </c>
      <c r="E925" s="8"/>
      <c r="F925" s="8" t="s">
        <v>37</v>
      </c>
      <c r="G925" s="8"/>
      <c r="H925" s="8"/>
      <c r="I925" s="8"/>
      <c r="J925" s="8">
        <v>-5000</v>
      </c>
      <c r="K925" s="8" t="s">
        <v>38</v>
      </c>
      <c r="L925" s="8" t="s">
        <v>5</v>
      </c>
      <c r="M925" s="8">
        <v>2026</v>
      </c>
      <c r="N925" s="8">
        <v>6</v>
      </c>
    </row>
    <row r="926" spans="2:14" x14ac:dyDescent="0.25">
      <c r="B926" s="8"/>
      <c r="C926" s="8"/>
      <c r="D926" s="10">
        <v>46054</v>
      </c>
      <c r="E926" s="8"/>
      <c r="F926" s="8" t="s">
        <v>36</v>
      </c>
      <c r="G926" s="8"/>
      <c r="H926" s="8"/>
      <c r="I926" s="8"/>
      <c r="J926" s="8">
        <v>-10000</v>
      </c>
      <c r="K926" s="8" t="s">
        <v>34</v>
      </c>
      <c r="L926" s="8" t="s">
        <v>35</v>
      </c>
      <c r="M926" s="8">
        <v>2026</v>
      </c>
      <c r="N926" s="8">
        <v>2</v>
      </c>
    </row>
    <row r="927" spans="2:14" x14ac:dyDescent="0.25">
      <c r="B927" s="8"/>
      <c r="C927" s="8"/>
      <c r="D927" s="10">
        <v>46082</v>
      </c>
      <c r="E927" s="8"/>
      <c r="F927" s="8" t="s">
        <v>36</v>
      </c>
      <c r="G927" s="8"/>
      <c r="H927" s="8"/>
      <c r="I927" s="8"/>
      <c r="J927" s="8">
        <v>-55000</v>
      </c>
      <c r="K927" s="8" t="s">
        <v>34</v>
      </c>
      <c r="L927" s="8" t="s">
        <v>35</v>
      </c>
      <c r="M927" s="8">
        <v>2026</v>
      </c>
      <c r="N927" s="8">
        <v>3</v>
      </c>
    </row>
    <row r="928" spans="2:14" x14ac:dyDescent="0.25">
      <c r="B928" s="8"/>
      <c r="C928" s="8"/>
      <c r="D928" s="10">
        <v>46113</v>
      </c>
      <c r="E928" s="8"/>
      <c r="F928" s="8" t="s">
        <v>36</v>
      </c>
      <c r="G928" s="8"/>
      <c r="H928" s="8"/>
      <c r="I928" s="8"/>
      <c r="J928" s="8">
        <v>-67000</v>
      </c>
      <c r="K928" s="8" t="s">
        <v>34</v>
      </c>
      <c r="L928" s="8" t="s">
        <v>35</v>
      </c>
      <c r="M928" s="8">
        <v>2026</v>
      </c>
      <c r="N928" s="8">
        <v>4</v>
      </c>
    </row>
    <row r="929" spans="2:14" x14ac:dyDescent="0.25">
      <c r="B929" s="8"/>
      <c r="C929" s="8"/>
      <c r="D929" s="10">
        <v>46143</v>
      </c>
      <c r="E929" s="8"/>
      <c r="F929" s="8" t="s">
        <v>36</v>
      </c>
      <c r="G929" s="8"/>
      <c r="H929" s="8"/>
      <c r="I929" s="8"/>
      <c r="J929" s="8">
        <v>-12000</v>
      </c>
      <c r="K929" s="8" t="s">
        <v>34</v>
      </c>
      <c r="L929" s="8" t="s">
        <v>35</v>
      </c>
      <c r="M929" s="8">
        <v>2026</v>
      </c>
      <c r="N929" s="8">
        <v>5</v>
      </c>
    </row>
    <row r="930" spans="2:14" x14ac:dyDescent="0.25">
      <c r="B930" s="8"/>
      <c r="C930" s="8"/>
      <c r="D930" s="10">
        <v>46174</v>
      </c>
      <c r="E930" s="8"/>
      <c r="F930" s="8" t="s">
        <v>36</v>
      </c>
      <c r="G930" s="8"/>
      <c r="H930" s="8"/>
      <c r="I930" s="8"/>
      <c r="J930" s="8">
        <v>-12000</v>
      </c>
      <c r="K930" s="8" t="s">
        <v>34</v>
      </c>
      <c r="L930" s="8" t="s">
        <v>35</v>
      </c>
      <c r="M930" s="8">
        <v>2026</v>
      </c>
      <c r="N930" s="8">
        <v>6</v>
      </c>
    </row>
    <row r="931" spans="2:14" x14ac:dyDescent="0.25">
      <c r="B931" s="8"/>
      <c r="C931" s="8"/>
      <c r="D931" s="10">
        <v>46023</v>
      </c>
      <c r="E931" s="8"/>
      <c r="F931" s="8" t="s">
        <v>85</v>
      </c>
      <c r="G931" s="8"/>
      <c r="H931" s="8"/>
      <c r="I931" s="8"/>
      <c r="J931" s="8">
        <v>48187</v>
      </c>
      <c r="K931" s="8" t="s">
        <v>43</v>
      </c>
      <c r="L931" s="8" t="s">
        <v>44</v>
      </c>
      <c r="M931" s="8">
        <v>2026</v>
      </c>
      <c r="N931" s="8">
        <v>1</v>
      </c>
    </row>
    <row r="932" spans="2:14" x14ac:dyDescent="0.25">
      <c r="B932" s="8"/>
      <c r="C932" s="8"/>
      <c r="D932" s="10">
        <v>46054</v>
      </c>
      <c r="E932" s="8"/>
      <c r="F932" s="8" t="s">
        <v>85</v>
      </c>
      <c r="G932" s="8"/>
      <c r="H932" s="8"/>
      <c r="I932" s="8"/>
      <c r="J932" s="8">
        <v>56200</v>
      </c>
      <c r="K932" s="8" t="s">
        <v>43</v>
      </c>
      <c r="L932" s="8" t="s">
        <v>44</v>
      </c>
      <c r="M932" s="8">
        <v>2026</v>
      </c>
      <c r="N932" s="8">
        <v>2</v>
      </c>
    </row>
    <row r="933" spans="2:14" x14ac:dyDescent="0.25">
      <c r="B933" s="8"/>
      <c r="C933" s="8"/>
      <c r="D933" s="10">
        <v>46082</v>
      </c>
      <c r="E933" s="8"/>
      <c r="F933" s="8" t="s">
        <v>85</v>
      </c>
      <c r="G933" s="8"/>
      <c r="H933" s="8"/>
      <c r="I933" s="8"/>
      <c r="J933" s="8">
        <v>56200</v>
      </c>
      <c r="K933" s="8" t="s">
        <v>43</v>
      </c>
      <c r="L933" s="8" t="s">
        <v>44</v>
      </c>
      <c r="M933" s="8">
        <v>2026</v>
      </c>
      <c r="N933" s="8">
        <v>3</v>
      </c>
    </row>
    <row r="934" spans="2:14" x14ac:dyDescent="0.25">
      <c r="B934" s="8"/>
      <c r="C934" s="8"/>
      <c r="D934" s="10">
        <v>46113</v>
      </c>
      <c r="E934" s="8"/>
      <c r="F934" s="8" t="s">
        <v>85</v>
      </c>
      <c r="G934" s="8"/>
      <c r="H934" s="8"/>
      <c r="I934" s="8"/>
      <c r="J934" s="8">
        <v>56200</v>
      </c>
      <c r="K934" s="8" t="s">
        <v>43</v>
      </c>
      <c r="L934" s="8" t="s">
        <v>44</v>
      </c>
      <c r="M934" s="8">
        <v>2026</v>
      </c>
      <c r="N934" s="8">
        <v>4</v>
      </c>
    </row>
    <row r="935" spans="2:14" x14ac:dyDescent="0.25">
      <c r="B935" s="8"/>
      <c r="C935" s="8"/>
      <c r="D935" s="10">
        <v>46143</v>
      </c>
      <c r="E935" s="8"/>
      <c r="F935" s="8" t="s">
        <v>85</v>
      </c>
      <c r="G935" s="8"/>
      <c r="H935" s="8"/>
      <c r="I935" s="8"/>
      <c r="J935" s="8">
        <v>56200</v>
      </c>
      <c r="K935" s="8" t="s">
        <v>43</v>
      </c>
      <c r="L935" s="8" t="s">
        <v>44</v>
      </c>
      <c r="M935" s="8">
        <v>2026</v>
      </c>
      <c r="N935" s="8">
        <v>5</v>
      </c>
    </row>
    <row r="936" spans="2:14" x14ac:dyDescent="0.25">
      <c r="B936" s="8"/>
      <c r="C936" s="8"/>
      <c r="D936" s="10">
        <v>46174</v>
      </c>
      <c r="E936" s="8"/>
      <c r="F936" s="8" t="s">
        <v>85</v>
      </c>
      <c r="G936" s="8"/>
      <c r="H936" s="8"/>
      <c r="I936" s="8"/>
      <c r="J936" s="8">
        <v>56200</v>
      </c>
      <c r="K936" s="8" t="s">
        <v>43</v>
      </c>
      <c r="L936" s="8" t="s">
        <v>44</v>
      </c>
      <c r="M936" s="8">
        <v>2026</v>
      </c>
      <c r="N936" s="8">
        <v>6</v>
      </c>
    </row>
    <row r="937" spans="2:14" x14ac:dyDescent="0.25">
      <c r="B937" s="8"/>
      <c r="C937" s="8"/>
      <c r="D937" s="10">
        <v>46023</v>
      </c>
      <c r="E937" s="8"/>
      <c r="F937" s="8" t="s">
        <v>86</v>
      </c>
      <c r="G937" s="8"/>
      <c r="H937" s="8"/>
      <c r="I937" s="8"/>
      <c r="J937" s="8">
        <v>43720</v>
      </c>
      <c r="K937" s="8" t="s">
        <v>43</v>
      </c>
      <c r="L937" s="8" t="s">
        <v>44</v>
      </c>
      <c r="M937" s="8">
        <v>2026</v>
      </c>
      <c r="N937" s="8">
        <v>1</v>
      </c>
    </row>
    <row r="938" spans="2:14" x14ac:dyDescent="0.25">
      <c r="B938" s="8"/>
      <c r="C938" s="8"/>
      <c r="D938" s="10">
        <v>46054</v>
      </c>
      <c r="E938" s="8"/>
      <c r="F938" s="8" t="s">
        <v>86</v>
      </c>
      <c r="G938" s="8"/>
      <c r="H938" s="8"/>
      <c r="I938" s="8"/>
      <c r="J938" s="8">
        <v>43720</v>
      </c>
      <c r="K938" s="8" t="s">
        <v>43</v>
      </c>
      <c r="L938" s="8" t="s">
        <v>44</v>
      </c>
      <c r="M938" s="8">
        <v>2026</v>
      </c>
      <c r="N938" s="8">
        <v>2</v>
      </c>
    </row>
    <row r="939" spans="2:14" x14ac:dyDescent="0.25">
      <c r="B939" s="8"/>
      <c r="C939" s="8"/>
      <c r="D939" s="10">
        <v>46082</v>
      </c>
      <c r="E939" s="8"/>
      <c r="F939" s="8" t="s">
        <v>86</v>
      </c>
      <c r="G939" s="8"/>
      <c r="H939" s="8"/>
      <c r="I939" s="8"/>
      <c r="J939" s="8">
        <v>43500</v>
      </c>
      <c r="K939" s="8" t="s">
        <v>43</v>
      </c>
      <c r="L939" s="8" t="s">
        <v>44</v>
      </c>
      <c r="M939" s="8">
        <v>2026</v>
      </c>
      <c r="N939" s="8">
        <v>3</v>
      </c>
    </row>
    <row r="940" spans="2:14" x14ac:dyDescent="0.25">
      <c r="B940" s="8"/>
      <c r="C940" s="8"/>
      <c r="D940" s="10">
        <v>46113</v>
      </c>
      <c r="E940" s="8"/>
      <c r="F940" s="8" t="s">
        <v>86</v>
      </c>
      <c r="G940" s="8"/>
      <c r="H940" s="8"/>
      <c r="I940" s="8"/>
      <c r="J940" s="8">
        <v>48500</v>
      </c>
      <c r="K940" s="8" t="s">
        <v>43</v>
      </c>
      <c r="L940" s="8" t="s">
        <v>44</v>
      </c>
      <c r="M940" s="8">
        <v>2026</v>
      </c>
      <c r="N940" s="8">
        <v>4</v>
      </c>
    </row>
    <row r="941" spans="2:14" x14ac:dyDescent="0.25">
      <c r="B941" s="8"/>
      <c r="C941" s="8"/>
      <c r="D941" s="10">
        <v>46143</v>
      </c>
      <c r="E941" s="8"/>
      <c r="F941" s="8" t="s">
        <v>86</v>
      </c>
      <c r="G941" s="8"/>
      <c r="H941" s="8"/>
      <c r="I941" s="8"/>
      <c r="J941" s="8">
        <v>48500</v>
      </c>
      <c r="K941" s="8" t="s">
        <v>43</v>
      </c>
      <c r="L941" s="8" t="s">
        <v>44</v>
      </c>
      <c r="M941" s="8">
        <v>2026</v>
      </c>
      <c r="N941" s="8">
        <v>5</v>
      </c>
    </row>
    <row r="942" spans="2:14" x14ac:dyDescent="0.25">
      <c r="B942" s="8"/>
      <c r="C942" s="8"/>
      <c r="D942" s="10">
        <v>46174</v>
      </c>
      <c r="E942" s="8"/>
      <c r="F942" s="8" t="s">
        <v>86</v>
      </c>
      <c r="G942" s="8"/>
      <c r="H942" s="8"/>
      <c r="I942" s="8"/>
      <c r="J942" s="8">
        <v>48500</v>
      </c>
      <c r="K942" s="8" t="s">
        <v>43</v>
      </c>
      <c r="L942" s="8" t="s">
        <v>44</v>
      </c>
      <c r="M942" s="8">
        <v>2026</v>
      </c>
      <c r="N942" s="8">
        <v>6</v>
      </c>
    </row>
    <row r="943" spans="2:14" x14ac:dyDescent="0.25">
      <c r="B943" s="8"/>
      <c r="C943" s="8"/>
      <c r="D943" s="10">
        <v>46113</v>
      </c>
      <c r="E943" s="8"/>
      <c r="F943" s="8" t="s">
        <v>419</v>
      </c>
      <c r="G943" s="8"/>
      <c r="H943" s="8"/>
      <c r="I943" s="8"/>
      <c r="J943" s="8">
        <v>-8000</v>
      </c>
      <c r="K943" s="8" t="s">
        <v>417</v>
      </c>
      <c r="L943" s="8" t="s">
        <v>44</v>
      </c>
      <c r="M943" s="8">
        <v>2026</v>
      </c>
      <c r="N943" s="8">
        <v>4</v>
      </c>
    </row>
    <row r="944" spans="2:14" x14ac:dyDescent="0.25">
      <c r="B944" s="8"/>
      <c r="C944" s="8"/>
      <c r="D944" s="10">
        <v>46113</v>
      </c>
      <c r="E944" s="8"/>
      <c r="F944" s="8" t="s">
        <v>410</v>
      </c>
      <c r="G944" s="8"/>
      <c r="H944" s="8"/>
      <c r="I944" s="8"/>
      <c r="J944" s="8">
        <v>-10000</v>
      </c>
      <c r="K944" s="8" t="s">
        <v>417</v>
      </c>
      <c r="L944" s="8" t="s">
        <v>44</v>
      </c>
      <c r="M944" s="8">
        <v>2026</v>
      </c>
      <c r="N944" s="8">
        <v>4</v>
      </c>
    </row>
    <row r="945" spans="2:14" x14ac:dyDescent="0.25">
      <c r="B945" s="8"/>
      <c r="C945" s="8"/>
      <c r="D945" s="10">
        <v>46113</v>
      </c>
      <c r="E945" s="8"/>
      <c r="F945" s="8" t="s">
        <v>408</v>
      </c>
      <c r="G945" s="8"/>
      <c r="H945" s="8"/>
      <c r="I945" s="8"/>
      <c r="J945" s="8">
        <v>-6875</v>
      </c>
      <c r="K945" s="8" t="s">
        <v>418</v>
      </c>
      <c r="L945" s="8" t="s">
        <v>5</v>
      </c>
      <c r="M945" s="8">
        <v>2026</v>
      </c>
      <c r="N945" s="8">
        <v>4</v>
      </c>
    </row>
  </sheetData>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1:AE47"/>
  <sheetViews>
    <sheetView showGridLines="0" tabSelected="1" zoomScaleNormal="100" workbookViewId="0">
      <pane xSplit="1" ySplit="6" topLeftCell="B22" activePane="bottomRight" state="frozen"/>
      <selection pane="topRight" activeCell="B1" sqref="B1"/>
      <selection pane="bottomLeft" activeCell="A7" sqref="A7"/>
      <selection pane="bottomRight" activeCell="Z48" sqref="Z48"/>
    </sheetView>
  </sheetViews>
  <sheetFormatPr defaultRowHeight="15" x14ac:dyDescent="0.25"/>
  <cols>
    <col min="1" max="1" width="1.28515625" customWidth="1"/>
    <col min="24" max="24" width="5.42578125" customWidth="1"/>
    <col min="25" max="25" width="23.140625" customWidth="1"/>
    <col min="26" max="27" width="10" customWidth="1"/>
    <col min="28" max="28" width="11.42578125" customWidth="1"/>
    <col min="31" max="31" width="10" bestFit="1" customWidth="1"/>
  </cols>
  <sheetData>
    <row r="1" spans="2:15" s="1" customFormat="1" x14ac:dyDescent="0.25">
      <c r="B1" s="4"/>
    </row>
    <row r="2" spans="2:15" s="1" customFormat="1" x14ac:dyDescent="0.25">
      <c r="B2" s="4"/>
    </row>
    <row r="3" spans="2:15" s="1" customFormat="1" x14ac:dyDescent="0.25">
      <c r="B3" s="4"/>
    </row>
    <row r="4" spans="2:15" s="1" customFormat="1" x14ac:dyDescent="0.25">
      <c r="B4" s="4"/>
    </row>
    <row r="5" spans="2:15" s="1" customFormat="1" x14ac:dyDescent="0.25">
      <c r="B5" s="4"/>
    </row>
    <row r="6" spans="2:15" s="1" customFormat="1" x14ac:dyDescent="0.25">
      <c r="B6" s="4"/>
    </row>
    <row r="14" spans="2:15" x14ac:dyDescent="0.25">
      <c r="O14" t="s">
        <v>73</v>
      </c>
    </row>
    <row r="25" spans="25:28" x14ac:dyDescent="0.25">
      <c r="Y25" s="9" t="s">
        <v>76</v>
      </c>
      <c r="Z25" t="s">
        <v>77</v>
      </c>
      <c r="AA25" t="s">
        <v>78</v>
      </c>
      <c r="AB25" t="s">
        <v>79</v>
      </c>
    </row>
    <row r="26" spans="25:28" x14ac:dyDescent="0.25">
      <c r="Y26" s="6" t="s">
        <v>44</v>
      </c>
      <c r="Z26" s="18"/>
      <c r="AA26" s="18"/>
      <c r="AB26" s="18"/>
    </row>
    <row r="27" spans="25:28" x14ac:dyDescent="0.25">
      <c r="Y27" s="15" t="s">
        <v>43</v>
      </c>
      <c r="Z27" s="18">
        <v>106140</v>
      </c>
      <c r="AA27" s="18">
        <v>104700</v>
      </c>
      <c r="AB27" s="18">
        <v>1440</v>
      </c>
    </row>
    <row r="28" spans="25:28" x14ac:dyDescent="0.25">
      <c r="Y28" s="15" t="s">
        <v>417</v>
      </c>
      <c r="Z28" s="18">
        <v>3000</v>
      </c>
      <c r="AA28" s="18">
        <v>0</v>
      </c>
      <c r="AB28" s="18">
        <v>3000</v>
      </c>
    </row>
    <row r="29" spans="25:28" x14ac:dyDescent="0.25">
      <c r="Y29" s="6" t="s">
        <v>75</v>
      </c>
      <c r="Z29" s="18">
        <v>109140</v>
      </c>
      <c r="AA29" s="18">
        <v>104700</v>
      </c>
      <c r="AB29" s="18">
        <v>4440</v>
      </c>
    </row>
    <row r="30" spans="25:28" x14ac:dyDescent="0.25">
      <c r="Y30" s="6"/>
      <c r="Z30" s="18"/>
      <c r="AA30" s="18"/>
      <c r="AB30" s="18"/>
    </row>
    <row r="31" spans="25:28" x14ac:dyDescent="0.25">
      <c r="Y31" s="6" t="s">
        <v>5</v>
      </c>
      <c r="Z31" s="18"/>
      <c r="AA31" s="18"/>
      <c r="AB31" s="18"/>
    </row>
    <row r="32" spans="25:28" x14ac:dyDescent="0.25">
      <c r="Y32" s="15" t="s">
        <v>9</v>
      </c>
      <c r="Z32" s="18">
        <v>-13772</v>
      </c>
      <c r="AA32" s="18">
        <v>-14300</v>
      </c>
      <c r="AB32" s="18">
        <v>528</v>
      </c>
    </row>
    <row r="33" spans="25:31" x14ac:dyDescent="0.25">
      <c r="Y33" s="15" t="s">
        <v>13</v>
      </c>
      <c r="Z33" s="18">
        <v>-4514</v>
      </c>
      <c r="AA33" s="18">
        <v>-3000</v>
      </c>
      <c r="AB33" s="18">
        <v>-1514</v>
      </c>
    </row>
    <row r="34" spans="25:31" x14ac:dyDescent="0.25">
      <c r="Y34" s="15" t="s">
        <v>22</v>
      </c>
      <c r="Z34" s="18">
        <v>-16107.66</v>
      </c>
      <c r="AA34" s="18">
        <v>-12000</v>
      </c>
      <c r="AB34" s="18">
        <v>-4107.66</v>
      </c>
    </row>
    <row r="35" spans="25:31" x14ac:dyDescent="0.25">
      <c r="Y35" s="15" t="s">
        <v>28</v>
      </c>
      <c r="Z35" s="18">
        <v>-2476</v>
      </c>
      <c r="AA35" s="18">
        <v>-1000</v>
      </c>
      <c r="AB35" s="18">
        <v>-1476</v>
      </c>
    </row>
    <row r="36" spans="25:31" x14ac:dyDescent="0.25">
      <c r="Y36" s="15" t="s">
        <v>4</v>
      </c>
      <c r="Z36" s="18">
        <v>-18518</v>
      </c>
      <c r="AA36" s="18">
        <v>-18050</v>
      </c>
      <c r="AB36" s="18">
        <v>-468</v>
      </c>
    </row>
    <row r="37" spans="25:31" x14ac:dyDescent="0.25">
      <c r="Y37" s="15" t="s">
        <v>19</v>
      </c>
      <c r="Z37" s="18">
        <v>-2222</v>
      </c>
      <c r="AA37" s="18">
        <v>-2299</v>
      </c>
      <c r="AB37" s="18">
        <v>77</v>
      </c>
    </row>
    <row r="38" spans="25:31" x14ac:dyDescent="0.25">
      <c r="Y38" s="15" t="s">
        <v>38</v>
      </c>
      <c r="Z38" s="18">
        <v>-9621</v>
      </c>
      <c r="AA38" s="18">
        <v>-9621</v>
      </c>
      <c r="AB38" s="18">
        <v>0</v>
      </c>
    </row>
    <row r="39" spans="25:31" x14ac:dyDescent="0.25">
      <c r="Y39" s="15" t="s">
        <v>418</v>
      </c>
      <c r="Z39" s="18">
        <v>-27408</v>
      </c>
      <c r="AA39" s="18">
        <v>0</v>
      </c>
      <c r="AB39" s="18">
        <v>-27408</v>
      </c>
    </row>
    <row r="40" spans="25:31" x14ac:dyDescent="0.25">
      <c r="Y40" s="6" t="s">
        <v>74</v>
      </c>
      <c r="Z40" s="18">
        <v>-94638.66</v>
      </c>
      <c r="AA40" s="18">
        <v>-60270</v>
      </c>
      <c r="AB40" s="18">
        <v>-34368.660000000003</v>
      </c>
    </row>
    <row r="41" spans="25:31" x14ac:dyDescent="0.25">
      <c r="Y41" s="6"/>
      <c r="Z41" s="18"/>
      <c r="AA41" s="18"/>
      <c r="AB41" s="18"/>
    </row>
    <row r="42" spans="25:31" x14ac:dyDescent="0.25">
      <c r="Y42" s="6" t="s">
        <v>35</v>
      </c>
      <c r="Z42" s="18"/>
      <c r="AA42" s="18"/>
      <c r="AB42" s="18"/>
    </row>
    <row r="43" spans="25:31" x14ac:dyDescent="0.25">
      <c r="Y43" s="15" t="s">
        <v>34</v>
      </c>
      <c r="Z43" s="18">
        <v>-12000</v>
      </c>
      <c r="AA43" s="18">
        <v>-12000</v>
      </c>
      <c r="AB43" s="18">
        <v>0</v>
      </c>
    </row>
    <row r="44" spans="25:31" x14ac:dyDescent="0.25">
      <c r="Y44" s="6" t="s">
        <v>297</v>
      </c>
      <c r="Z44" s="18">
        <v>-12000</v>
      </c>
      <c r="AA44" s="18">
        <v>-12000</v>
      </c>
      <c r="AB44" s="18">
        <v>0</v>
      </c>
    </row>
    <row r="45" spans="25:31" x14ac:dyDescent="0.25">
      <c r="Y45" s="6"/>
      <c r="Z45" s="18"/>
      <c r="AA45" s="18"/>
      <c r="AB45" s="18"/>
      <c r="AE45" s="18"/>
    </row>
    <row r="46" spans="25:31" x14ac:dyDescent="0.25">
      <c r="Y46" s="6" t="s">
        <v>80</v>
      </c>
      <c r="Z46" s="18">
        <v>14501.34</v>
      </c>
      <c r="AA46" s="18">
        <v>44430</v>
      </c>
      <c r="AB46" s="18">
        <v>-29928.66</v>
      </c>
    </row>
    <row r="47" spans="25:31" x14ac:dyDescent="0.25">
      <c r="Y47" s="6"/>
      <c r="Z47" s="18"/>
      <c r="AA47" s="18"/>
      <c r="AB47" s="18"/>
    </row>
  </sheetData>
  <pageMargins left="0.7" right="0.7" top="0.75" bottom="0.75" header="0.3" footer="0.3"/>
  <pageSetup paperSize="9" orientation="portrait" r:id="rId2"/>
  <drawing r:id="rId3"/>
  <extLst>
    <ext xmlns:x14="http://schemas.microsoft.com/office/spreadsheetml/2009/9/main" uri="{78C0D931-6437-407d-A8EE-F0AAD7539E65}">
      <x14:conditionalFormattings>
        <x14:conditionalFormatting xmlns:xm="http://schemas.microsoft.com/office/excel/2006/main" pivot="1">
          <x14:cfRule type="iconSet" priority="1" id="{569A588C-B209-455A-8FC5-7A75C2789763}">
            <x14:iconSet iconSet="3Symbols2" custom="1">
              <x14:cfvo type="percent">
                <xm:f>0</xm:f>
              </x14:cfvo>
              <x14:cfvo type="num">
                <xm:f>0</xm:f>
              </x14:cfvo>
              <x14:cfvo type="num">
                <xm:f>0</xm:f>
              </x14:cfvo>
              <x14:cfIcon iconSet="3Symbols2" iconId="0"/>
              <x14:cfIcon iconSet="NoIcons" iconId="0"/>
              <x14:cfIcon iconSet="3Symbols2" iconId="2"/>
            </x14:iconSet>
          </x14:cfRule>
          <xm:sqref>AB27:AB28 AB32:AB39 AB43</xm:sqref>
        </x14:conditionalFormatting>
      </x14:conditionalFormattings>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D1:X49"/>
  <sheetViews>
    <sheetView showGridLines="0" zoomScale="85" zoomScaleNormal="85" workbookViewId="0">
      <selection activeCell="AC14" sqref="AC14"/>
    </sheetView>
  </sheetViews>
  <sheetFormatPr defaultRowHeight="15" x14ac:dyDescent="0.25"/>
  <cols>
    <col min="1" max="1" width="1.42578125" customWidth="1"/>
    <col min="2" max="3" width="10.7109375" customWidth="1"/>
    <col min="4" max="4" width="20" customWidth="1"/>
    <col min="5" max="5" width="13.28515625" customWidth="1"/>
    <col min="6" max="6" width="14" customWidth="1"/>
    <col min="7" max="7" width="5.7109375" customWidth="1"/>
    <col min="8" max="8" width="15.140625" customWidth="1"/>
    <col min="9" max="9" width="13.28515625" customWidth="1"/>
    <col min="10" max="10" width="14" customWidth="1"/>
    <col min="11" max="11" width="5.7109375" customWidth="1"/>
    <col min="12" max="12" width="14.7109375" customWidth="1"/>
    <col min="13" max="13" width="12.7109375" bestFit="1" customWidth="1"/>
    <col min="14" max="14" width="15.140625" customWidth="1"/>
    <col min="15" max="15" width="13.28515625" customWidth="1"/>
    <col min="16" max="16" width="14" customWidth="1"/>
    <col min="17" max="17" width="5.7109375" customWidth="1"/>
    <col min="18" max="18" width="15.5703125" customWidth="1"/>
    <col min="19" max="19" width="13.28515625" customWidth="1"/>
    <col min="20" max="20" width="12.7109375" customWidth="1"/>
    <col min="21" max="21" width="13.5703125" bestFit="1" customWidth="1"/>
    <col min="22" max="22" width="20.42578125" customWidth="1"/>
    <col min="23" max="23" width="13.28515625" customWidth="1"/>
    <col min="24" max="24" width="14" customWidth="1"/>
  </cols>
  <sheetData>
    <row r="1" spans="4:24" s="1" customFormat="1" x14ac:dyDescent="0.25">
      <c r="E1" s="2"/>
    </row>
    <row r="2" spans="4:24" s="1" customFormat="1" x14ac:dyDescent="0.25">
      <c r="E2" s="2"/>
    </row>
    <row r="3" spans="4:24" s="1" customFormat="1" x14ac:dyDescent="0.25">
      <c r="E3" s="2"/>
    </row>
    <row r="4" spans="4:24" s="1" customFormat="1" x14ac:dyDescent="0.25">
      <c r="E4" s="2"/>
    </row>
    <row r="5" spans="4:24" s="1" customFormat="1" x14ac:dyDescent="0.25">
      <c r="E5" s="2"/>
    </row>
    <row r="6" spans="4:24" s="1" customFormat="1" x14ac:dyDescent="0.25">
      <c r="E6" s="2"/>
    </row>
    <row r="8" spans="4:24" x14ac:dyDescent="0.25">
      <c r="D8" s="17" t="s">
        <v>80</v>
      </c>
      <c r="E8" s="18">
        <f>GETPIVOTDATA(" ACTUAL",REPORTS!$Y$25,"Category Type","Income Surplus/(Deficit)")</f>
        <v>14501.34</v>
      </c>
      <c r="F8" t="str">
        <f>IF(E8&gt;0,"INCOME SURPLUS","DEFICIT")</f>
        <v>INCOME SURPLUS</v>
      </c>
    </row>
    <row r="9" spans="4:24" x14ac:dyDescent="0.25">
      <c r="D9" s="17" t="s">
        <v>82</v>
      </c>
      <c r="E9" s="18">
        <f>(GETPIVOTDATA(" VARIANCE",REPORTS!$Y$25,"Category Type","Income Surplus/(Deficit)"))</f>
        <v>-29928.66</v>
      </c>
      <c r="F9" t="str">
        <f>IF(E9&gt;0,"ABOVE BUDGET","BELOW BUDGET")</f>
        <v>BELOW BUDGET</v>
      </c>
    </row>
    <row r="11" spans="4:24" x14ac:dyDescent="0.25">
      <c r="D11" s="9" t="s">
        <v>0</v>
      </c>
      <c r="E11" t="s">
        <v>68</v>
      </c>
      <c r="F11" t="s">
        <v>69</v>
      </c>
      <c r="H11" s="9" t="s">
        <v>0</v>
      </c>
      <c r="I11" t="s">
        <v>68</v>
      </c>
      <c r="J11" t="s">
        <v>69</v>
      </c>
      <c r="N11" s="9" t="s">
        <v>0</v>
      </c>
      <c r="O11" t="s">
        <v>68</v>
      </c>
      <c r="P11" t="s">
        <v>69</v>
      </c>
      <c r="R11" s="9" t="s">
        <v>0</v>
      </c>
      <c r="S11" t="s">
        <v>68</v>
      </c>
      <c r="V11" s="9" t="s">
        <v>0</v>
      </c>
      <c r="W11" t="s">
        <v>68</v>
      </c>
      <c r="X11" t="s">
        <v>69</v>
      </c>
    </row>
    <row r="12" spans="4:24" x14ac:dyDescent="0.25">
      <c r="D12" s="6" t="s">
        <v>9</v>
      </c>
      <c r="E12" s="18">
        <v>-13772</v>
      </c>
      <c r="F12" s="18">
        <v>-14300</v>
      </c>
      <c r="H12" s="6">
        <v>2025</v>
      </c>
      <c r="I12" s="18">
        <v>-189782.68</v>
      </c>
      <c r="J12" s="18">
        <v>-178870</v>
      </c>
      <c r="K12" s="14"/>
      <c r="N12" s="6">
        <v>2025</v>
      </c>
      <c r="O12" s="18">
        <v>260314</v>
      </c>
      <c r="P12" s="18">
        <v>233800</v>
      </c>
      <c r="R12" s="6" t="s">
        <v>85</v>
      </c>
      <c r="S12" s="18">
        <v>57640</v>
      </c>
      <c r="V12" s="6" t="s">
        <v>86</v>
      </c>
      <c r="W12" s="18">
        <v>385287</v>
      </c>
      <c r="X12" s="18">
        <v>363840</v>
      </c>
    </row>
    <row r="13" spans="4:24" x14ac:dyDescent="0.25">
      <c r="D13" s="6" t="s">
        <v>13</v>
      </c>
      <c r="E13" s="18">
        <v>-4514</v>
      </c>
      <c r="F13" s="18">
        <v>-3000</v>
      </c>
      <c r="H13" s="15">
        <v>11</v>
      </c>
      <c r="I13" s="18">
        <v>-92223.86</v>
      </c>
      <c r="J13" s="18">
        <v>-81618</v>
      </c>
      <c r="K13" s="14"/>
      <c r="N13" s="15">
        <v>11</v>
      </c>
      <c r="O13" s="18">
        <v>146200</v>
      </c>
      <c r="P13" s="18">
        <v>141900</v>
      </c>
      <c r="R13" s="6" t="s">
        <v>86</v>
      </c>
      <c r="S13" s="18">
        <v>48500</v>
      </c>
      <c r="V13" s="6" t="s">
        <v>85</v>
      </c>
      <c r="W13" s="18">
        <v>373541</v>
      </c>
      <c r="X13" s="18">
        <v>425587</v>
      </c>
    </row>
    <row r="14" spans="4:24" x14ac:dyDescent="0.25">
      <c r="D14" s="6" t="s">
        <v>22</v>
      </c>
      <c r="E14" s="18">
        <v>-16107.66</v>
      </c>
      <c r="F14" s="18">
        <v>-12000</v>
      </c>
      <c r="H14" s="15">
        <v>12</v>
      </c>
      <c r="I14" s="18">
        <v>-97558.82</v>
      </c>
      <c r="J14" s="18">
        <v>-97252</v>
      </c>
      <c r="K14" s="14"/>
      <c r="N14" s="15">
        <v>12</v>
      </c>
      <c r="O14" s="18">
        <v>114114</v>
      </c>
      <c r="P14" s="18">
        <v>91900</v>
      </c>
      <c r="R14" s="6" t="s">
        <v>419</v>
      </c>
      <c r="S14" s="18">
        <v>3000</v>
      </c>
      <c r="V14" s="6" t="s">
        <v>45</v>
      </c>
      <c r="W14" s="18">
        <v>67810</v>
      </c>
      <c r="X14" s="18">
        <v>50000</v>
      </c>
    </row>
    <row r="15" spans="4:24" x14ac:dyDescent="0.25">
      <c r="D15" s="6" t="s">
        <v>28</v>
      </c>
      <c r="E15" s="18">
        <v>-2476</v>
      </c>
      <c r="F15" s="18">
        <v>-1000</v>
      </c>
      <c r="H15" s="6">
        <v>2026</v>
      </c>
      <c r="I15" s="18">
        <v>-483812.94000000006</v>
      </c>
      <c r="J15" s="18">
        <v>-443826</v>
      </c>
      <c r="K15" s="14"/>
      <c r="Q15" s="8"/>
      <c r="T15" s="8"/>
      <c r="U15" s="8"/>
      <c r="V15" s="6" t="s">
        <v>410</v>
      </c>
      <c r="W15" s="18">
        <v>27888.82</v>
      </c>
      <c r="X15" s="18">
        <v>-10000</v>
      </c>
    </row>
    <row r="16" spans="4:24" x14ac:dyDescent="0.25">
      <c r="D16" s="6" t="s">
        <v>4</v>
      </c>
      <c r="E16" s="18">
        <v>-18518</v>
      </c>
      <c r="F16" s="18">
        <v>-18050</v>
      </c>
      <c r="H16" s="15">
        <v>1</v>
      </c>
      <c r="I16" s="18">
        <v>-92965</v>
      </c>
      <c r="J16" s="18">
        <v>-106628</v>
      </c>
      <c r="K16" s="14"/>
      <c r="Q16" s="8"/>
      <c r="T16" s="8"/>
      <c r="U16" s="8"/>
      <c r="V16" s="6" t="s">
        <v>419</v>
      </c>
      <c r="W16" s="18">
        <v>13000</v>
      </c>
      <c r="X16" s="18">
        <v>-8000</v>
      </c>
    </row>
    <row r="17" spans="4:24" x14ac:dyDescent="0.25">
      <c r="D17" s="6" t="s">
        <v>19</v>
      </c>
      <c r="E17" s="18">
        <v>-2222</v>
      </c>
      <c r="F17" s="18">
        <v>-2299</v>
      </c>
      <c r="H17" s="15">
        <v>2</v>
      </c>
      <c r="I17" s="18">
        <v>-93228.03</v>
      </c>
      <c r="J17" s="18">
        <v>-90578</v>
      </c>
      <c r="K17" s="14"/>
      <c r="Q17" s="8"/>
      <c r="T17" s="8"/>
      <c r="U17" s="8"/>
      <c r="V17" s="6" t="s">
        <v>18</v>
      </c>
      <c r="W17" s="18">
        <v>-199</v>
      </c>
      <c r="X17" s="18">
        <v>-1492</v>
      </c>
    </row>
    <row r="18" spans="4:24" x14ac:dyDescent="0.25">
      <c r="D18" s="6" t="s">
        <v>38</v>
      </c>
      <c r="E18" s="18">
        <v>-9621</v>
      </c>
      <c r="F18" s="18">
        <v>-9621</v>
      </c>
      <c r="H18" s="15">
        <v>3</v>
      </c>
      <c r="I18" s="18">
        <v>-75277.62</v>
      </c>
      <c r="J18" s="18">
        <v>-51880</v>
      </c>
      <c r="K18" s="14"/>
      <c r="Q18" s="8"/>
      <c r="T18" s="8"/>
      <c r="U18" s="8"/>
      <c r="V18" s="6" t="s">
        <v>31</v>
      </c>
      <c r="W18" s="18">
        <v>-200</v>
      </c>
      <c r="X18" s="18">
        <v>0</v>
      </c>
    </row>
    <row r="19" spans="4:24" x14ac:dyDescent="0.25">
      <c r="D19" s="6" t="s">
        <v>418</v>
      </c>
      <c r="E19" s="18">
        <v>-27408</v>
      </c>
      <c r="F19" s="18">
        <v>0</v>
      </c>
      <c r="H19" s="15">
        <v>4</v>
      </c>
      <c r="I19" s="18">
        <v>-127111.63</v>
      </c>
      <c r="J19" s="18">
        <v>-56924</v>
      </c>
      <c r="K19" s="14"/>
      <c r="Q19" s="8"/>
      <c r="T19" s="8"/>
      <c r="U19" s="8"/>
      <c r="V19" s="6" t="s">
        <v>302</v>
      </c>
      <c r="W19" s="18">
        <v>-251</v>
      </c>
      <c r="X19" s="18">
        <v>0</v>
      </c>
    </row>
    <row r="20" spans="4:24" x14ac:dyDescent="0.25">
      <c r="H20" s="15">
        <v>5</v>
      </c>
      <c r="I20" s="18">
        <v>-94638.66</v>
      </c>
      <c r="J20" s="18">
        <v>-60270</v>
      </c>
      <c r="K20" s="14"/>
      <c r="Q20" s="8"/>
      <c r="T20" s="8"/>
      <c r="U20" s="8"/>
      <c r="V20" s="6" t="s">
        <v>17</v>
      </c>
      <c r="W20" s="18">
        <v>-370</v>
      </c>
      <c r="X20" s="18">
        <v>0</v>
      </c>
    </row>
    <row r="21" spans="4:24" x14ac:dyDescent="0.25">
      <c r="H21" s="15">
        <v>6</v>
      </c>
      <c r="I21" s="18">
        <v>-592</v>
      </c>
      <c r="J21" s="18">
        <v>-19820</v>
      </c>
      <c r="K21" s="14"/>
      <c r="Q21" s="8"/>
      <c r="T21" s="8"/>
      <c r="U21" s="8"/>
      <c r="V21" s="6" t="s">
        <v>32</v>
      </c>
      <c r="W21" s="18">
        <v>-1236</v>
      </c>
      <c r="X21" s="18">
        <v>0</v>
      </c>
    </row>
    <row r="22" spans="4:24" x14ac:dyDescent="0.25">
      <c r="H22" s="15">
        <v>7</v>
      </c>
      <c r="I22" s="18"/>
      <c r="J22" s="18">
        <v>-9621</v>
      </c>
      <c r="K22" s="14"/>
      <c r="Q22" s="8"/>
      <c r="T22" s="8"/>
      <c r="U22" s="8"/>
      <c r="V22" s="6" t="s">
        <v>40</v>
      </c>
      <c r="W22" s="18">
        <v>-1488</v>
      </c>
      <c r="X22" s="18">
        <v>0</v>
      </c>
    </row>
    <row r="23" spans="4:24" x14ac:dyDescent="0.25">
      <c r="H23" s="15">
        <v>8</v>
      </c>
      <c r="I23" s="18"/>
      <c r="J23" s="18">
        <v>-9621</v>
      </c>
      <c r="K23" s="14"/>
      <c r="Q23" s="8"/>
      <c r="T23" s="8"/>
      <c r="U23" s="8"/>
      <c r="V23" s="6" t="s">
        <v>81</v>
      </c>
      <c r="W23" s="18">
        <v>-1500</v>
      </c>
      <c r="X23" s="18">
        <v>-2000</v>
      </c>
    </row>
    <row r="24" spans="4:24" x14ac:dyDescent="0.25">
      <c r="H24" s="15">
        <v>9</v>
      </c>
      <c r="I24" s="18"/>
      <c r="J24" s="18">
        <v>-9621</v>
      </c>
      <c r="K24" s="14"/>
      <c r="Q24" s="8"/>
      <c r="T24" s="8"/>
      <c r="U24" s="8"/>
      <c r="V24" s="6" t="s">
        <v>14</v>
      </c>
      <c r="W24" s="18">
        <v>-1515</v>
      </c>
      <c r="X24" s="18">
        <v>-329</v>
      </c>
    </row>
    <row r="25" spans="4:24" x14ac:dyDescent="0.25">
      <c r="H25" s="15">
        <v>10</v>
      </c>
      <c r="I25" s="18"/>
      <c r="J25" s="18">
        <v>-9621</v>
      </c>
      <c r="Q25" s="8"/>
      <c r="T25" s="8"/>
      <c r="U25" s="8"/>
      <c r="V25" s="6" t="s">
        <v>20</v>
      </c>
      <c r="W25" s="18">
        <v>-1525</v>
      </c>
      <c r="X25" s="18">
        <v>-1780</v>
      </c>
    </row>
    <row r="26" spans="4:24" x14ac:dyDescent="0.25">
      <c r="H26" s="15">
        <v>11</v>
      </c>
      <c r="I26" s="18"/>
      <c r="J26" s="18">
        <v>-9621</v>
      </c>
      <c r="Q26" s="8"/>
      <c r="T26" s="8"/>
      <c r="U26" s="8"/>
      <c r="V26" s="6" t="s">
        <v>26</v>
      </c>
      <c r="W26" s="18">
        <v>-3629</v>
      </c>
      <c r="X26" s="18">
        <v>-2100</v>
      </c>
    </row>
    <row r="27" spans="4:24" x14ac:dyDescent="0.25">
      <c r="H27" s="15">
        <v>12</v>
      </c>
      <c r="I27" s="18"/>
      <c r="J27" s="18">
        <v>-9621</v>
      </c>
      <c r="Q27" s="8"/>
      <c r="T27" s="8"/>
      <c r="U27" s="8"/>
      <c r="V27" s="6" t="s">
        <v>29</v>
      </c>
      <c r="W27" s="18">
        <v>-3655.8</v>
      </c>
      <c r="X27" s="18">
        <v>-6000</v>
      </c>
    </row>
    <row r="28" spans="4:24" x14ac:dyDescent="0.25">
      <c r="Q28" s="8"/>
      <c r="T28" s="8"/>
      <c r="U28" s="8"/>
      <c r="V28" s="6" t="s">
        <v>30</v>
      </c>
      <c r="W28" s="18">
        <v>-4000</v>
      </c>
      <c r="X28" s="18">
        <v>-4000</v>
      </c>
    </row>
    <row r="29" spans="4:24" x14ac:dyDescent="0.25">
      <c r="Q29" s="8"/>
      <c r="T29" s="8"/>
      <c r="U29" s="8"/>
      <c r="V29" s="6" t="s">
        <v>8</v>
      </c>
      <c r="W29" s="18">
        <v>-4150</v>
      </c>
      <c r="X29" s="18">
        <v>-6600</v>
      </c>
    </row>
    <row r="30" spans="4:24" x14ac:dyDescent="0.25">
      <c r="Q30" s="8"/>
      <c r="T30" s="8"/>
      <c r="U30" s="8"/>
      <c r="V30" s="6" t="s">
        <v>27</v>
      </c>
      <c r="W30" s="18">
        <v>-4520</v>
      </c>
      <c r="X30" s="18">
        <v>-6000</v>
      </c>
    </row>
    <row r="31" spans="4:24" x14ac:dyDescent="0.25">
      <c r="Q31" s="8"/>
      <c r="T31" s="8"/>
      <c r="U31" s="8"/>
      <c r="V31" s="6" t="s">
        <v>39</v>
      </c>
      <c r="W31" s="18">
        <v>-5000</v>
      </c>
      <c r="X31" s="18">
        <v>-7000</v>
      </c>
    </row>
    <row r="32" spans="4:24" x14ac:dyDescent="0.25">
      <c r="Q32" s="8"/>
      <c r="T32" s="8"/>
      <c r="V32" s="6" t="s">
        <v>12</v>
      </c>
      <c r="W32" s="18">
        <v>-5014</v>
      </c>
      <c r="X32" s="18">
        <v>-5000</v>
      </c>
    </row>
    <row r="33" spans="22:24" x14ac:dyDescent="0.25">
      <c r="V33" s="6" t="s">
        <v>23</v>
      </c>
      <c r="W33" s="18">
        <v>-5043</v>
      </c>
      <c r="X33" s="18">
        <v>-5000</v>
      </c>
    </row>
    <row r="34" spans="22:24" x14ac:dyDescent="0.25">
      <c r="V34" s="6" t="s">
        <v>6</v>
      </c>
      <c r="W34" s="18">
        <v>-5588</v>
      </c>
      <c r="X34" s="18">
        <v>-6209</v>
      </c>
    </row>
    <row r="35" spans="22:24" x14ac:dyDescent="0.25">
      <c r="V35" s="6" t="s">
        <v>15</v>
      </c>
      <c r="W35" s="18">
        <v>-12843</v>
      </c>
      <c r="X35" s="18">
        <v>-4260</v>
      </c>
    </row>
    <row r="36" spans="22:24" x14ac:dyDescent="0.25">
      <c r="V36" s="6" t="s">
        <v>11</v>
      </c>
      <c r="W36" s="18">
        <v>-14040</v>
      </c>
      <c r="X36" s="18">
        <v>-12300</v>
      </c>
    </row>
    <row r="37" spans="22:24" x14ac:dyDescent="0.25">
      <c r="V37" s="6" t="s">
        <v>218</v>
      </c>
      <c r="W37" s="18">
        <v>-15723.57</v>
      </c>
      <c r="X37" s="18">
        <v>-13914</v>
      </c>
    </row>
    <row r="38" spans="22:24" x14ac:dyDescent="0.25">
      <c r="V38" s="6" t="s">
        <v>7</v>
      </c>
      <c r="W38" s="18">
        <v>-19985.52</v>
      </c>
      <c r="X38" s="18">
        <v>-18135</v>
      </c>
    </row>
    <row r="39" spans="22:24" x14ac:dyDescent="0.25">
      <c r="V39" s="6" t="s">
        <v>24</v>
      </c>
      <c r="W39" s="18">
        <v>-21720.5</v>
      </c>
      <c r="X39" s="18">
        <v>-5000</v>
      </c>
    </row>
    <row r="40" spans="22:24" x14ac:dyDescent="0.25">
      <c r="V40" s="6" t="s">
        <v>84</v>
      </c>
      <c r="W40" s="18">
        <v>-33156</v>
      </c>
      <c r="X40" s="18">
        <v>-65831</v>
      </c>
    </row>
    <row r="41" spans="22:24" x14ac:dyDescent="0.25">
      <c r="V41" s="6" t="s">
        <v>408</v>
      </c>
      <c r="W41" s="18">
        <v>-36896.82</v>
      </c>
      <c r="X41" s="18">
        <v>-6875</v>
      </c>
    </row>
    <row r="42" spans="22:24" x14ac:dyDescent="0.25">
      <c r="V42" s="6" t="s">
        <v>25</v>
      </c>
      <c r="W42" s="18">
        <v>-39170.22</v>
      </c>
      <c r="X42" s="18">
        <v>-27000</v>
      </c>
    </row>
    <row r="43" spans="22:24" x14ac:dyDescent="0.25">
      <c r="V43" s="6" t="s">
        <v>10</v>
      </c>
      <c r="W43" s="18">
        <v>-44986.2</v>
      </c>
      <c r="X43" s="18">
        <v>-37540</v>
      </c>
    </row>
    <row r="44" spans="22:24" x14ac:dyDescent="0.25">
      <c r="V44" s="6" t="s">
        <v>21</v>
      </c>
      <c r="W44" s="18">
        <v>-48644.75</v>
      </c>
      <c r="X44" s="18">
        <v>-51000</v>
      </c>
    </row>
    <row r="45" spans="22:24" x14ac:dyDescent="0.25">
      <c r="V45" s="6" t="s">
        <v>409</v>
      </c>
      <c r="W45" s="18">
        <v>-51000</v>
      </c>
      <c r="X45" s="18">
        <v>0</v>
      </c>
    </row>
    <row r="46" spans="22:24" x14ac:dyDescent="0.25">
      <c r="V46" s="6" t="s">
        <v>83</v>
      </c>
      <c r="W46" s="18">
        <v>-61115</v>
      </c>
      <c r="X46" s="18">
        <v>-96000</v>
      </c>
    </row>
    <row r="47" spans="22:24" x14ac:dyDescent="0.25">
      <c r="V47" s="6" t="s">
        <v>3</v>
      </c>
      <c r="W47" s="18">
        <v>-109000</v>
      </c>
      <c r="X47" s="18">
        <v>-92250</v>
      </c>
    </row>
    <row r="48" spans="22:24" x14ac:dyDescent="0.25">
      <c r="V48" s="6" t="s">
        <v>37</v>
      </c>
      <c r="W48" s="18">
        <v>-116681.24</v>
      </c>
      <c r="X48" s="18">
        <v>-139081</v>
      </c>
    </row>
    <row r="49" spans="22:24" x14ac:dyDescent="0.25">
      <c r="V49" s="6" t="s">
        <v>36</v>
      </c>
      <c r="W49" s="18">
        <v>-217100</v>
      </c>
      <c r="X49" s="18">
        <v>-239000</v>
      </c>
    </row>
  </sheetData>
  <sortState columnSort="1" ref="V11:X31">
    <sortCondition ref="W11"/>
  </sortState>
  <pageMargins left="0.7" right="0.7" top="0.75" bottom="0.75" header="0.3" footer="0.3"/>
  <pageSetup paperSize="9" orientation="portrait" r:id="rId6"/>
  <drawing r:id="rId7"/>
  <legacy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73D518-1259-425A-BF55-01BAE3283C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CATEGORY</vt:lpstr>
      <vt:lpstr>BUDGET</vt:lpstr>
      <vt:lpstr>STATEMENT</vt:lpstr>
      <vt:lpstr>LEND &amp; BORROW</vt:lpstr>
      <vt:lpstr>OTHERS</vt:lpstr>
      <vt:lpstr>QUERY</vt:lpstr>
      <vt:lpstr>REPORTS</vt:lpstr>
      <vt:lpstr>ANALYSIS</vt:lpstr>
      <vt:lpstr>Sub_Categories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GOW</cp:lastModifiedBy>
  <dcterms:created xsi:type="dcterms:W3CDTF">2024-02-13T15:43:15Z</dcterms:created>
  <dcterms:modified xsi:type="dcterms:W3CDTF">2026-05-29T12:17:16Z</dcterms:modified>
</cp:coreProperties>
</file>